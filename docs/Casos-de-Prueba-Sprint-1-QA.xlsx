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QA" sheetId="1" state="visible" r:id="rId1"/>
    <sheet name="Matriz consolidada" sheetId="2" state="visible" r:id="rId2"/>
    <sheet name="Resumen por historia" sheetId="3" state="visible" r:id="rId3"/>
    <sheet name="Trazabilidad" sheetId="4" state="visible" r:id="rId4"/>
    <sheet name="Catálogos" sheetId="5" state="hidden" r:id="rId5"/>
  </sheets>
  <definedNames>
    <definedName name="ListaEstados">Catálogos!$A$2:$A$6</definedName>
    <definedName name="ListaTipos">Catálogos!$B$2:$B$6</definedName>
    <definedName name="ListaPrioridades">Catálogos!$C$2:$C$5</definedName>
    <definedName name="ListaSeveridades">Catálogos!$D$2:$D$6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font>
    <font>
      <b val="1"/>
    </font>
    <font>
      <b val="1"/>
      <color rgb="00111827"/>
      <sz val="16"/>
    </font>
    <font>
      <i val="1"/>
      <color rgb="006B7280"/>
      <sz val="9"/>
    </font>
    <font>
      <b val="1"/>
      <color rgb="00111827"/>
      <sz val="12"/>
    </font>
    <font>
      <sz val="11"/>
    </font>
    <font>
      <b val="1"/>
      <color rgb="001F2937"/>
      <sz val="12"/>
    </font>
    <font>
      <b val="1"/>
      <color rgb="00B91C1C"/>
      <sz val="12"/>
    </font>
    <font>
      <b val="1"/>
      <color rgb="00C2410C"/>
      <sz val="12"/>
    </font>
  </fonts>
  <fills count="4">
    <fill>
      <patternFill/>
    </fill>
    <fill>
      <patternFill patternType="gray125"/>
    </fill>
    <fill>
      <patternFill patternType="solid">
        <fgColor rgb="001F2937"/>
        <bgColor rgb="001F2937"/>
      </patternFill>
    </fill>
    <fill>
      <patternFill patternType="solid">
        <fgColor rgb="00E5E7EB"/>
        <bgColor rgb="00E5E7E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9">
    <xf numFmtId="0" fontId="0" fillId="0" borderId="0" pivotButton="0" quotePrefix="0" xfId="0"/>
    <xf numFmtId="0" fontId="3" fillId="0" borderId="0" pivotButton="0" quotePrefix="0" xfId="0"/>
    <xf numFmtId="0" fontId="4" fillId="0" borderId="0" pivotButton="0" quotePrefix="0" xfId="0"/>
    <xf numFmtId="0" fontId="5" fillId="3" borderId="0" pivotButton="0" quotePrefix="0" xfId="0"/>
    <xf numFmtId="0" fontId="6" fillId="0" borderId="0" pivotButton="0" quotePrefix="0" xfId="0"/>
    <xf numFmtId="0" fontId="7" fillId="0" borderId="0" applyAlignment="1" pivotButton="0" quotePrefix="0" xfId="0">
      <alignment horizontal="center"/>
    </xf>
    <xf numFmtId="9"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center"/>
    </xf>
    <xf numFmtId="0" fontId="2" fillId="0" borderId="0" pivotButton="0" quotePrefix="0" xfId="0"/>
    <xf numFmtId="0" fontId="0" fillId="0" borderId="1" pivotButton="0" quotePrefix="0" xfId="0"/>
    <xf numFmtId="9"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0" fontId="2" fillId="0" borderId="1" pivotButton="0" quotePrefix="0" xfId="0"/>
    <xf numFmtId="9" fontId="2" fillId="0" borderId="1" pivotButton="0" quotePrefix="0" xfId="0"/>
  </cellXfs>
  <cellStyles count="1">
    <cellStyle name="Normal" xfId="0" builtinId="0" hidden="0"/>
  </cellStyles>
  <dxfs count="6">
    <dxf>
      <fill>
        <patternFill patternType="solid">
          <fgColor rgb="00D1FAE5"/>
          <bgColor rgb="00D1FAE5"/>
        </patternFill>
      </fill>
    </dxf>
    <dxf>
      <fill>
        <patternFill patternType="solid">
          <fgColor rgb="00FEF9C3"/>
          <bgColor rgb="00FEF9C3"/>
        </patternFill>
      </fill>
    </dxf>
    <dxf>
      <fill>
        <patternFill patternType="solid">
          <fgColor rgb="00FEE2E2"/>
          <bgColor rgb="00FEE2E2"/>
        </patternFill>
      </fill>
    </dxf>
    <dxf>
      <fill>
        <patternFill patternType="solid">
          <fgColor rgb="00FFEDD5"/>
          <bgColor rgb="00FFEDD5"/>
        </patternFill>
      </fill>
    </dxf>
    <dxf>
      <fill>
        <patternFill patternType="solid">
          <fgColor rgb="00E5E7EB"/>
          <bgColor rgb="00E5E7EB"/>
        </patternFill>
      </fill>
    </dxf>
    <dxf>
      <fill>
        <patternFill patternType="solid">
          <fgColor rgb="00FCA5A5"/>
          <bgColor rgb="00FCA5A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Casos por estado</a:t>
            </a:r>
          </a:p>
        </rich>
      </tx>
    </title>
    <plotArea>
      <barChart>
        <barDir val="col"/>
        <grouping val="clustered"/>
        <ser>
          <idx val="0"/>
          <order val="0"/>
          <tx>
            <strRef>
              <f>'Dashboard QA'!B16</f>
            </strRef>
          </tx>
          <spPr>
            <a:ln>
              <a:prstDash val="solid"/>
            </a:ln>
          </spPr>
          <cat>
            <numRef>
              <f>'Dashboard QA'!$A$17:$A$21</f>
            </numRef>
          </cat>
          <val>
            <numRef>
              <f>'Dashboard QA'!$B$17:$B$21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Cantidad</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Distribución por tipo de prueba</a:t>
            </a:r>
          </a:p>
        </rich>
      </tx>
    </title>
    <plotArea>
      <pieChart>
        <varyColors val="1"/>
        <ser>
          <idx val="0"/>
          <order val="0"/>
          <tx>
            <strRef>
              <f>'Dashboard QA'!B24</f>
            </strRef>
          </tx>
          <spPr>
            <a:ln>
              <a:prstDash val="solid"/>
            </a:ln>
          </spPr>
          <cat>
            <numRef>
              <f>'Dashboard QA'!$A$25:$A$29</f>
            </numRef>
          </cat>
          <val>
            <numRef>
              <f>'Dashboard QA'!$B$25:$B$29</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Casos por prioridad</a:t>
            </a:r>
          </a:p>
        </rich>
      </tx>
    </title>
    <plotArea>
      <barChart>
        <barDir val="col"/>
        <grouping val="clustered"/>
        <ser>
          <idx val="0"/>
          <order val="0"/>
          <tx>
            <strRef>
              <f>'Dashboard QA'!B32</f>
            </strRef>
          </tx>
          <spPr>
            <a:ln>
              <a:prstDash val="solid"/>
            </a:ln>
          </spPr>
          <cat>
            <numRef>
              <f>'Dashboard QA'!$A$33:$A$36</f>
            </numRef>
          </cat>
          <val>
            <numRef>
              <f>'Dashboard QA'!$B$33:$B$36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Cantidad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396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19</row>
      <rowOff>0</rowOff>
    </from>
    <ext cx="3960000" cy="25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35</row>
      <rowOff>0</rowOff>
    </from>
    <ext cx="3960000" cy="2520000"/>
    <graphicFrame>
      <nvGraphicFramePr>
        <cNvPr id="3" name="Chart 3"/>
        <cNvGraphicFramePr/>
      </nvGraphicFramePr>
      <xfrm/>
      <a:graphic>
        <a:graphicData uri="http://schemas.openxmlformats.org/drawingml/2006/chart">
          <c:chart r:id="rId3"/>
        </a:graphicData>
      </a:graphic>
    </graphicFrame>
    <clientData/>
  </oneCellAnchor>
</wsDr>
</file>

<file path=xl/tables/table1.xml><?xml version="1.0" encoding="utf-8"?>
<table xmlns="http://schemas.openxmlformats.org/spreadsheetml/2006/main" id="1" name="MatrizQA" displayName="MatrizQA" ref="A1:R65" headerRowCount="1">
  <autoFilter ref="A1:R65"/>
  <tableColumns count="18">
    <tableColumn id="1" name="ID Caso"/>
    <tableColumn id="2" name="Historia"/>
    <tableColumn id="3" name="Issue"/>
    <tableColumn id="4" name="Criterio de aceptación"/>
    <tableColumn id="5" name="Tipo de prueba"/>
    <tableColumn id="6" name="Prioridad"/>
    <tableColumn id="7" name="Precondiciones"/>
    <tableColumn id="8" name="Datos de prueba"/>
    <tableColumn id="9" name="Pasos"/>
    <tableColumn id="10" name="Resultado esperado"/>
    <tableColumn id="11" name="Resultado obtenido"/>
    <tableColumn id="12" name="Estado"/>
    <tableColumn id="13" name="Severidad"/>
    <tableColumn id="14" name="Evidencia"/>
    <tableColumn id="15" name="Responsable"/>
    <tableColumn id="16" name="Fecha de ejecución"/>
    <tableColumn id="17" name="Defecto asociado"/>
    <tableColumn id="18" name="Observaciones"/>
  </tableColumns>
  <tableStyleInfo name="TableStyleMedium2" showRowStripes="1"/>
</table>
</file>

<file path=xl/tables/table2.xml><?xml version="1.0" encoding="utf-8"?>
<table xmlns="http://schemas.openxmlformats.org/spreadsheetml/2006/main" id="2" name="ResumenHistorias" displayName="ResumenHistorias" ref="A1:L12" headerRowCount="1">
  <autoFilter ref="A1:L12"/>
  <tableColumns count="12">
    <tableColumn id="1" name="Historia"/>
    <tableColumn id="2" name="Issue"/>
    <tableColumn id="3" name="Título"/>
    <tableColumn id="4" name="Responsable"/>
    <tableColumn id="5" name="Total TC"/>
    <tableColumn id="6" name="Camino feliz"/>
    <tableColumn id="7" name="Casos de error"/>
    <tableColumn id="8" name="Pendientes"/>
    <tableColumn id="9" name="Aprobados"/>
    <tableColumn id="10" name="Fallidos"/>
    <tableColumn id="11" name="Bloqueados"/>
    <tableColumn id="12" name="Cobertura CA"/>
  </tableColumns>
  <tableStyleInfo name="TableStyleMedium2" showRowStripes="1"/>
</table>
</file>

<file path=xl/tables/table3.xml><?xml version="1.0" encoding="utf-8"?>
<table xmlns="http://schemas.openxmlformats.org/spreadsheetml/2006/main" id="3" name="Trazabilidad" displayName="Trazabilidad" ref="A1:E48" headerRowCount="1">
  <autoFilter ref="A1:E48"/>
  <tableColumns count="5">
    <tableColumn id="1" name="Historia"/>
    <tableColumn id="2" name="Criterio de aceptación"/>
    <tableColumn id="3" name="Descripción"/>
    <tableColumn id="4" name="Casos de prueba"/>
    <tableColumn id="5" name="Cobertura"/>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D50"/>
  <sheetViews>
    <sheetView showGridLines="0" workbookViewId="0">
      <selection activeCell="A1" sqref="A1"/>
    </sheetView>
  </sheetViews>
  <sheetFormatPr baseColWidth="8" defaultRowHeight="15"/>
  <cols>
    <col width="34" customWidth="1" min="1" max="1"/>
    <col width="30" customWidth="1" min="2" max="2"/>
    <col width="30" customWidth="1" min="3" max="3"/>
  </cols>
  <sheetData>
    <row r="1">
      <c r="A1" s="1" t="inlineStr">
        <is>
          <t>Dashboard QA — Sprint 1 (Núcleo de Stock)</t>
        </is>
      </c>
    </row>
    <row r="2">
      <c r="A2" s="2" t="inlineStr">
        <is>
          <t>Se actualiza solo: todos los valores son fórmulas sobre 'Matriz consolidada' y 'Trazabilidad'.</t>
        </is>
      </c>
    </row>
    <row r="4">
      <c r="A4" s="3" t="inlineStr">
        <is>
          <t>Indicadores principales</t>
        </is>
      </c>
    </row>
    <row r="5">
      <c r="A5" s="4" t="inlineStr">
        <is>
          <t>Total de historias (Sprint 1)</t>
        </is>
      </c>
      <c r="B5" s="5">
        <f>COUNTA('Resumen por historia'!$A$2:$A$12)</f>
        <v/>
      </c>
    </row>
    <row r="6">
      <c r="A6" s="4" t="inlineStr">
        <is>
          <t>Total de casos de prueba</t>
        </is>
      </c>
      <c r="B6" s="5">
        <f>COUNTA('Matriz consolidada'!$A$2:$A$65)</f>
        <v/>
      </c>
    </row>
    <row r="7">
      <c r="A7" s="4" t="inlineStr">
        <is>
          <t>Total de criterios de aceptación</t>
        </is>
      </c>
      <c r="B7" s="5">
        <f>COUNTA(Trazabilidad!$B$2:$B$48)</f>
        <v/>
      </c>
    </row>
    <row r="8">
      <c r="A8" s="4" t="inlineStr">
        <is>
          <t>Criterios de aceptación cubiertos</t>
        </is>
      </c>
      <c r="B8" s="5">
        <f>COUNTIF(Trazabilidad!$E$2:$E$48,"Cubierto")</f>
        <v/>
      </c>
    </row>
    <row r="9">
      <c r="A9" s="4" t="inlineStr">
        <is>
          <t>% cobertura de criterios de aceptación</t>
        </is>
      </c>
      <c r="B9" s="6">
        <f>B8/B7</f>
        <v/>
      </c>
    </row>
    <row r="10">
      <c r="A10" s="4" t="inlineStr">
        <is>
          <t>Casos pendientes</t>
        </is>
      </c>
      <c r="B10" s="5">
        <f>COUNTIF('Matriz consolidada'!$L$2:$L$65,"Pendiente")</f>
        <v/>
      </c>
    </row>
    <row r="11">
      <c r="A11" s="4" t="inlineStr">
        <is>
          <t>Casos aprobados</t>
        </is>
      </c>
      <c r="B11" s="5">
        <f>COUNTIF('Matriz consolidada'!$L$2:$L$65,"Aprobado")</f>
        <v/>
      </c>
    </row>
    <row r="12">
      <c r="A12" s="4" t="inlineStr">
        <is>
          <t>Casos fallidos</t>
        </is>
      </c>
      <c r="B12" s="7">
        <f>COUNTIF('Matriz consolidada'!$L$2:$L$65,"Fallido")</f>
        <v/>
      </c>
    </row>
    <row r="13">
      <c r="A13" s="4" t="inlineStr">
        <is>
          <t>Casos bloqueados</t>
        </is>
      </c>
      <c r="B13" s="8">
        <f>COUNTIF('Matriz consolidada'!$L$2:$L$65,"Bloqueado")</f>
        <v/>
      </c>
    </row>
    <row r="15">
      <c r="A15" s="3" t="inlineStr">
        <is>
          <t>Distribución por estado</t>
        </is>
      </c>
    </row>
    <row r="16">
      <c r="A16" s="9" t="inlineStr">
        <is>
          <t>Estado</t>
        </is>
      </c>
      <c r="B16" s="9" t="inlineStr">
        <is>
          <t>Cantidad</t>
        </is>
      </c>
      <c r="C16" s="9" t="inlineStr">
        <is>
          <t>%</t>
        </is>
      </c>
    </row>
    <row r="17">
      <c r="A17" s="10" t="inlineStr">
        <is>
          <t>Pendiente</t>
        </is>
      </c>
      <c r="B17" s="10">
        <f>COUNTIF('Matriz consolidada'!$L$2:$L$65,"Pendiente")</f>
        <v/>
      </c>
      <c r="C17" s="11">
        <f>B17/64</f>
        <v/>
      </c>
    </row>
    <row r="18">
      <c r="A18" s="10" t="inlineStr">
        <is>
          <t>Aprobado</t>
        </is>
      </c>
      <c r="B18" s="10">
        <f>COUNTIF('Matriz consolidada'!$L$2:$L$65,"Aprobado")</f>
        <v/>
      </c>
      <c r="C18" s="11">
        <f>B18/64</f>
        <v/>
      </c>
    </row>
    <row r="19">
      <c r="A19" s="10" t="inlineStr">
        <is>
          <t>Fallido</t>
        </is>
      </c>
      <c r="B19" s="10">
        <f>COUNTIF('Matriz consolidada'!$L$2:$L$65,"Fallido")</f>
        <v/>
      </c>
      <c r="C19" s="11">
        <f>B19/64</f>
        <v/>
      </c>
    </row>
    <row r="20">
      <c r="A20" s="10" t="inlineStr">
        <is>
          <t>Bloqueado</t>
        </is>
      </c>
      <c r="B20" s="10">
        <f>COUNTIF('Matriz consolidada'!$L$2:$L$65,"Bloqueado")</f>
        <v/>
      </c>
      <c r="C20" s="11">
        <f>B20/64</f>
        <v/>
      </c>
    </row>
    <row r="21">
      <c r="A21" s="10" t="inlineStr">
        <is>
          <t>No ejecutado</t>
        </is>
      </c>
      <c r="B21" s="10">
        <f>COUNTIF('Matriz consolidada'!$L$2:$L$65,"No ejecutado")</f>
        <v/>
      </c>
      <c r="C21" s="11">
        <f>B21/64</f>
        <v/>
      </c>
    </row>
    <row r="23">
      <c r="A23" s="3" t="inlineStr">
        <is>
          <t>Distribución por tipo de prueba</t>
        </is>
      </c>
    </row>
    <row r="24">
      <c r="A24" s="9" t="inlineStr">
        <is>
          <t>Tipo de prueba</t>
        </is>
      </c>
      <c r="B24" s="9" t="inlineStr">
        <is>
          <t>Cantidad</t>
        </is>
      </c>
      <c r="C24" s="9" t="inlineStr">
        <is>
          <t>%</t>
        </is>
      </c>
    </row>
    <row r="25">
      <c r="A25" s="10" t="inlineStr">
        <is>
          <t>Camino feliz</t>
        </is>
      </c>
      <c r="B25" s="10">
        <f>COUNTIF('Matriz consolidada'!$E$2:$E$65,"Camino feliz")</f>
        <v/>
      </c>
      <c r="C25" s="11">
        <f>B25/64</f>
        <v/>
      </c>
    </row>
    <row r="26">
      <c r="A26" s="10" t="inlineStr">
        <is>
          <t>Validación</t>
        </is>
      </c>
      <c r="B26" s="10">
        <f>COUNTIF('Matriz consolidada'!$E$2:$E$65,"Validación")</f>
        <v/>
      </c>
      <c r="C26" s="11">
        <f>B26/64</f>
        <v/>
      </c>
    </row>
    <row r="27">
      <c r="A27" s="10" t="inlineStr">
        <is>
          <t>Caso de error</t>
        </is>
      </c>
      <c r="B27" s="10">
        <f>COUNTIF('Matriz consolidada'!$E$2:$E$65,"Caso de error")</f>
        <v/>
      </c>
      <c r="C27" s="11">
        <f>B27/64</f>
        <v/>
      </c>
    </row>
    <row r="28">
      <c r="A28" s="10" t="inlineStr">
        <is>
          <t>Integración</t>
        </is>
      </c>
      <c r="B28" s="10">
        <f>COUNTIF('Matriz consolidada'!$E$2:$E$65,"Integración")</f>
        <v/>
      </c>
      <c r="C28" s="11">
        <f>B28/64</f>
        <v/>
      </c>
    </row>
    <row r="29">
      <c r="A29" s="10" t="inlineStr">
        <is>
          <t>Regresión</t>
        </is>
      </c>
      <c r="B29" s="10">
        <f>COUNTIF('Matriz consolidada'!$E$2:$E$65,"Regresión")</f>
        <v/>
      </c>
      <c r="C29" s="11">
        <f>B29/64</f>
        <v/>
      </c>
    </row>
    <row r="31">
      <c r="A31" s="3" t="inlineStr">
        <is>
          <t>Distribución por prioridad</t>
        </is>
      </c>
    </row>
    <row r="32">
      <c r="A32" s="9" t="inlineStr">
        <is>
          <t>Prioridad</t>
        </is>
      </c>
      <c r="B32" s="9" t="inlineStr">
        <is>
          <t>Cantidad</t>
        </is>
      </c>
      <c r="C32" s="9" t="inlineStr">
        <is>
          <t>%</t>
        </is>
      </c>
    </row>
    <row r="33">
      <c r="A33" s="10" t="inlineStr">
        <is>
          <t>Crítica</t>
        </is>
      </c>
      <c r="B33" s="10">
        <f>COUNTIF('Matriz consolidada'!$F$2:$F$65,"Crítica")</f>
        <v/>
      </c>
      <c r="C33" s="11">
        <f>B33/64</f>
        <v/>
      </c>
    </row>
    <row r="34">
      <c r="A34" s="10" t="inlineStr">
        <is>
          <t>Alta</t>
        </is>
      </c>
      <c r="B34" s="10">
        <f>COUNTIF('Matriz consolidada'!$F$2:$F$65,"Alta")</f>
        <v/>
      </c>
      <c r="C34" s="11">
        <f>B34/64</f>
        <v/>
      </c>
    </row>
    <row r="35">
      <c r="A35" s="10" t="inlineStr">
        <is>
          <t>Media</t>
        </is>
      </c>
      <c r="B35" s="10">
        <f>COUNTIF('Matriz consolidada'!$F$2:$F$65,"Media")</f>
        <v/>
      </c>
      <c r="C35" s="11">
        <f>B35/64</f>
        <v/>
      </c>
    </row>
    <row r="36">
      <c r="A36" s="10" t="inlineStr">
        <is>
          <t>Baja</t>
        </is>
      </c>
      <c r="B36" s="10">
        <f>COUNTIF('Matriz consolidada'!$F$2:$F$65,"Baja")</f>
        <v/>
      </c>
      <c r="C36" s="11">
        <f>B36/64</f>
        <v/>
      </c>
    </row>
    <row r="38">
      <c r="A38" s="3" t="inlineStr">
        <is>
          <t>Cobertura de criterios de aceptación por historia</t>
        </is>
      </c>
    </row>
    <row r="39">
      <c r="A39" s="9" t="inlineStr">
        <is>
          <t>Historia</t>
        </is>
      </c>
      <c r="B39" s="9" t="inlineStr">
        <is>
          <t>Cobertura CA</t>
        </is>
      </c>
    </row>
    <row r="40">
      <c r="A40" s="10">
        <f>'Resumen por historia'!A2</f>
        <v/>
      </c>
      <c r="B40" s="11">
        <f>'Resumen por historia'!L2</f>
        <v/>
      </c>
    </row>
    <row r="41">
      <c r="A41" s="10">
        <f>'Resumen por historia'!A3</f>
        <v/>
      </c>
      <c r="B41" s="11">
        <f>'Resumen por historia'!L3</f>
        <v/>
      </c>
    </row>
    <row r="42">
      <c r="A42" s="10">
        <f>'Resumen por historia'!A4</f>
        <v/>
      </c>
      <c r="B42" s="11">
        <f>'Resumen por historia'!L4</f>
        <v/>
      </c>
    </row>
    <row r="43">
      <c r="A43" s="10">
        <f>'Resumen por historia'!A5</f>
        <v/>
      </c>
      <c r="B43" s="11">
        <f>'Resumen por historia'!L5</f>
        <v/>
      </c>
    </row>
    <row r="44">
      <c r="A44" s="10">
        <f>'Resumen por historia'!A6</f>
        <v/>
      </c>
      <c r="B44" s="11">
        <f>'Resumen por historia'!L6</f>
        <v/>
      </c>
    </row>
    <row r="45">
      <c r="A45" s="10">
        <f>'Resumen por historia'!A7</f>
        <v/>
      </c>
      <c r="B45" s="11">
        <f>'Resumen por historia'!L7</f>
        <v/>
      </c>
    </row>
    <row r="46">
      <c r="A46" s="10">
        <f>'Resumen por historia'!A8</f>
        <v/>
      </c>
      <c r="B46" s="11">
        <f>'Resumen por historia'!L8</f>
        <v/>
      </c>
    </row>
    <row r="47">
      <c r="A47" s="10">
        <f>'Resumen por historia'!A9</f>
        <v/>
      </c>
      <c r="B47" s="11">
        <f>'Resumen por historia'!L9</f>
        <v/>
      </c>
    </row>
    <row r="48">
      <c r="A48" s="10">
        <f>'Resumen por historia'!A10</f>
        <v/>
      </c>
      <c r="B48" s="11">
        <f>'Resumen por historia'!L10</f>
        <v/>
      </c>
    </row>
    <row r="49">
      <c r="A49" s="10">
        <f>'Resumen por historia'!A11</f>
        <v/>
      </c>
      <c r="B49" s="11">
        <f>'Resumen por historia'!L11</f>
        <v/>
      </c>
    </row>
    <row r="50">
      <c r="A50" s="10">
        <f>'Resumen por historia'!A12</f>
        <v/>
      </c>
      <c r="B50" s="11">
        <f>'Resumen por historia'!L12</f>
        <v/>
      </c>
    </row>
  </sheetData>
  <mergeCells count="7">
    <mergeCell ref="A1:D1"/>
    <mergeCell ref="A23:C23"/>
    <mergeCell ref="A31:C31"/>
    <mergeCell ref="A2:D2"/>
    <mergeCell ref="A15:C15"/>
    <mergeCell ref="A4:C4"/>
    <mergeCell ref="A38:C38"/>
  </mergeCells>
  <conditionalFormatting sqref="B40:B50">
    <cfRule type="cellIs" priority="1" operator="equal" dxfId="0">
      <formula>1</formula>
    </cfRule>
    <cfRule type="cellIs" priority="2" operator="lessThan" dxfId="1">
      <formula>1</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65"/>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8" customWidth="1" min="3" max="3"/>
    <col width="46" customWidth="1" min="4" max="4"/>
    <col width="14" customWidth="1" min="5" max="5"/>
    <col width="11" customWidth="1" min="6" max="6"/>
    <col width="34" customWidth="1" min="7" max="7"/>
    <col width="34" customWidth="1" min="8" max="8"/>
    <col width="40" customWidth="1" min="9" max="9"/>
    <col width="42" customWidth="1" min="10" max="10"/>
    <col width="24" customWidth="1" min="11" max="11"/>
    <col width="13" customWidth="1" min="12" max="12"/>
    <col width="11" customWidth="1" min="13" max="13"/>
    <col width="14" customWidth="1" min="14" max="14"/>
    <col width="16" customWidth="1" min="15" max="15"/>
    <col width="14" customWidth="1" min="16" max="16"/>
    <col width="15" customWidth="1" min="17" max="17"/>
    <col width="30" customWidth="1" min="18" max="18"/>
  </cols>
  <sheetData>
    <row r="1" ht="32" customHeight="1">
      <c r="A1" s="12" t="inlineStr">
        <is>
          <t>ID Caso</t>
        </is>
      </c>
      <c r="B1" s="12" t="inlineStr">
        <is>
          <t>Historia</t>
        </is>
      </c>
      <c r="C1" s="12" t="inlineStr">
        <is>
          <t>Issue</t>
        </is>
      </c>
      <c r="D1" s="12" t="inlineStr">
        <is>
          <t>Criterio de aceptación</t>
        </is>
      </c>
      <c r="E1" s="12" t="inlineStr">
        <is>
          <t>Tipo de prueba</t>
        </is>
      </c>
      <c r="F1" s="12" t="inlineStr">
        <is>
          <t>Prioridad</t>
        </is>
      </c>
      <c r="G1" s="12" t="inlineStr">
        <is>
          <t>Precondiciones</t>
        </is>
      </c>
      <c r="H1" s="12" t="inlineStr">
        <is>
          <t>Datos de prueba</t>
        </is>
      </c>
      <c r="I1" s="12" t="inlineStr">
        <is>
          <t>Pasos</t>
        </is>
      </c>
      <c r="J1" s="12" t="inlineStr">
        <is>
          <t>Resultado esperado</t>
        </is>
      </c>
      <c r="K1" s="12" t="inlineStr">
        <is>
          <t>Resultado obtenido</t>
        </is>
      </c>
      <c r="L1" s="12" t="inlineStr">
        <is>
          <t>Estado</t>
        </is>
      </c>
      <c r="M1" s="12" t="inlineStr">
        <is>
          <t>Severidad</t>
        </is>
      </c>
      <c r="N1" s="12" t="inlineStr">
        <is>
          <t>Evidencia</t>
        </is>
      </c>
      <c r="O1" s="12" t="inlineStr">
        <is>
          <t>Responsable</t>
        </is>
      </c>
      <c r="P1" s="12" t="inlineStr">
        <is>
          <t>Fecha de ejecución</t>
        </is>
      </c>
      <c r="Q1" s="12" t="inlineStr">
        <is>
          <t>Defecto asociado</t>
        </is>
      </c>
      <c r="R1" s="12" t="inlineStr">
        <is>
          <t>Observaciones</t>
        </is>
      </c>
    </row>
    <row r="2" ht="90" customHeight="1">
      <c r="A2" s="13" t="inlineStr">
        <is>
          <t>TC-STK-01-01</t>
        </is>
      </c>
      <c r="B2" s="13" t="inlineStr">
        <is>
          <t>US-STK-01</t>
        </is>
      </c>
      <c r="C2" s="13" t="inlineStr">
        <is>
          <t>#6</t>
        </is>
      </c>
      <c r="D2" s="13" t="inlineStr">
        <is>
          <t>CA-01 — El sistema genera un ID único; CA-02 — El nombre es obligatorio; CA-03 — Debe seleccionarse una categoría, marca y unidad de medida existentes y activas; CA-04 — El código de barras no puede estar duplicado</t>
        </is>
      </c>
      <c r="E2" s="13" t="inlineStr">
        <is>
          <t>Camino feliz</t>
        </is>
      </c>
      <c r="F2" s="13" t="inlineStr">
        <is>
          <t>Crítica</t>
        </is>
      </c>
      <c r="G2" s="13" t="inlineStr">
        <is>
          <t>Usuario autenticado con permisos de gestión de artículos; existen una categoría, una marca y una unidad de medida activas.</t>
        </is>
      </c>
      <c r="H2" s="13" t="inlineStr">
        <is>
          <t>Nombre: Cemento Portland x50kg | Categoría: Cementos (activa) | Marca: Loma Negra (activa) | Unidad de medida: Bolsa (activa) | Código de barras: 7791234567890</t>
        </is>
      </c>
      <c r="I2" s="13" t="inlineStr">
        <is>
          <t>1. Ingresar al módulo Artículos.
2. Seleccionar "Nuevo artículo".
3. Completar nombre, categoría, marca y unidad de medida (todas existentes y activas) y un código de barras no utilizado.
4. Presionar "Guardar".</t>
        </is>
      </c>
      <c r="J2" s="13" t="inlineStr">
        <is>
          <t>El artículo se crea con un ID único generado por el sistema, queda con estado Activo por defecto, y sus datos (categoría, marca, unidad de medida, código de barras) se guardan tal como se ingresaron.</t>
        </is>
      </c>
      <c r="K2" s="13" t="inlineStr">
        <is>
          <t>Pendiente de ejecución</t>
        </is>
      </c>
      <c r="L2" s="13" t="inlineStr">
        <is>
          <t>Pendiente</t>
        </is>
      </c>
      <c r="M2" s="13" t="inlineStr">
        <is>
          <t>N/A</t>
        </is>
      </c>
      <c r="N2" s="13" t="inlineStr">
        <is>
          <t>Pendiente</t>
        </is>
      </c>
      <c r="O2" s="13" t="inlineStr">
        <is>
          <t>gonzavillalba02</t>
        </is>
      </c>
      <c r="P2" s="13" t="inlineStr">
        <is>
          <t>—</t>
        </is>
      </c>
      <c r="Q2" s="13" t="inlineStr">
        <is>
          <t>N/A</t>
        </is>
      </c>
      <c r="R2" s="13" t="inlineStr">
        <is>
          <t>—</t>
        </is>
      </c>
    </row>
    <row r="3" ht="90" customHeight="1">
      <c r="A3" s="13" t="inlineStr">
        <is>
          <t>TC-STK-01-02</t>
        </is>
      </c>
      <c r="B3" s="13" t="inlineStr">
        <is>
          <t>US-STK-01</t>
        </is>
      </c>
      <c r="C3" s="13" t="inlineStr">
        <is>
          <t>#6</t>
        </is>
      </c>
      <c r="D3" s="13" t="inlineStr">
        <is>
          <t>CA-05 — El estado es Activo o Inactivo</t>
        </is>
      </c>
      <c r="E3" s="13" t="inlineStr">
        <is>
          <t>Camino feliz</t>
        </is>
      </c>
      <c r="F3" s="13" t="inlineStr">
        <is>
          <t>Media</t>
        </is>
      </c>
      <c r="G3" s="13" t="inlineStr">
        <is>
          <t>Existe un artículo con estado Activo.</t>
        </is>
      </c>
      <c r="H3" s="13" t="inlineStr">
        <is>
          <t>Artículo existente con estado: Activo → nuevo estado: Inactivo</t>
        </is>
      </c>
      <c r="I3" s="13" t="inlineStr">
        <is>
          <t>1. Ingresar a la ficha del artículo.
2. Cambiar su estado a Inactivo (PATCH estado).
3. Guardar el cambio.</t>
        </is>
      </c>
      <c r="J3" s="13" t="inlineStr">
        <is>
          <t>El artículo queda con estado Inactivo y ese cambio se refleja en su ficha y en el listado.</t>
        </is>
      </c>
      <c r="K3" s="13" t="inlineStr">
        <is>
          <t>Pendiente de ejecución</t>
        </is>
      </c>
      <c r="L3" s="13" t="inlineStr">
        <is>
          <t>Pendiente</t>
        </is>
      </c>
      <c r="M3" s="13" t="inlineStr">
        <is>
          <t>N/A</t>
        </is>
      </c>
      <c r="N3" s="13" t="inlineStr">
        <is>
          <t>Pendiente</t>
        </is>
      </c>
      <c r="O3" s="13" t="inlineStr">
        <is>
          <t>gonzavillalba02</t>
        </is>
      </c>
      <c r="P3" s="13" t="inlineStr">
        <is>
          <t>—</t>
        </is>
      </c>
      <c r="Q3" s="13" t="inlineStr">
        <is>
          <t>N/A</t>
        </is>
      </c>
      <c r="R3" s="13" t="inlineStr">
        <is>
          <t>—</t>
        </is>
      </c>
    </row>
    <row r="4" ht="90" customHeight="1">
      <c r="A4" s="13" t="inlineStr">
        <is>
          <t>TC-STK-01-03</t>
        </is>
      </c>
      <c r="B4" s="13" t="inlineStr">
        <is>
          <t>US-STK-01</t>
        </is>
      </c>
      <c r="C4" s="13" t="inlineStr">
        <is>
          <t>#6</t>
        </is>
      </c>
      <c r="D4" s="13" t="inlineStr">
        <is>
          <t>CA-02 — El nombre es obligatorio</t>
        </is>
      </c>
      <c r="E4" s="13" t="inlineStr">
        <is>
          <t>Validación</t>
        </is>
      </c>
      <c r="F4" s="13" t="inlineStr">
        <is>
          <t>Alta</t>
        </is>
      </c>
      <c r="G4" s="13" t="inlineStr">
        <is>
          <t>Usuario en el formulario de alta de artículo, con categoría, marca, unidad de medida y código de barras completos.</t>
        </is>
      </c>
      <c r="H4" s="13" t="inlineStr">
        <is>
          <t>Nombre: (vacío) | Categoría: Cementos | Marca: Loma Negra | Unidad: Bolsa | Código de barras: 7791234567891</t>
        </is>
      </c>
      <c r="I4" s="13" t="inlineStr">
        <is>
          <t>1. Dejar el campo Nombre vacío.
2. Presionar "Guardar".</t>
        </is>
      </c>
      <c r="J4" s="13" t="inlineStr">
        <is>
          <t>El sistema rechaza la operación (HTTP 400) e informa que el nombre es obligatorio; el artículo no se crea.</t>
        </is>
      </c>
      <c r="K4" s="13" t="inlineStr">
        <is>
          <t>Pendiente de ejecución</t>
        </is>
      </c>
      <c r="L4" s="13" t="inlineStr">
        <is>
          <t>Pendiente</t>
        </is>
      </c>
      <c r="M4" s="13" t="inlineStr">
        <is>
          <t>N/A</t>
        </is>
      </c>
      <c r="N4" s="13" t="inlineStr">
        <is>
          <t>Pendiente</t>
        </is>
      </c>
      <c r="O4" s="13" t="inlineStr">
        <is>
          <t>gonzavillalba02</t>
        </is>
      </c>
      <c r="P4" s="13" t="inlineStr">
        <is>
          <t>—</t>
        </is>
      </c>
      <c r="Q4" s="13" t="inlineStr">
        <is>
          <t>N/A</t>
        </is>
      </c>
      <c r="R4" s="13" t="inlineStr">
        <is>
          <t>—</t>
        </is>
      </c>
    </row>
    <row r="5" ht="90" customHeight="1">
      <c r="A5" s="13" t="inlineStr">
        <is>
          <t>TC-STK-01-04</t>
        </is>
      </c>
      <c r="B5" s="13" t="inlineStr">
        <is>
          <t>US-STK-01</t>
        </is>
      </c>
      <c r="C5" s="13" t="inlineStr">
        <is>
          <t>#6</t>
        </is>
      </c>
      <c r="D5" s="13" t="inlineStr">
        <is>
          <t>CA-03 — Debe seleccionarse una categoría, marca y unidad de medida existentes y activas</t>
        </is>
      </c>
      <c r="E5" s="13" t="inlineStr">
        <is>
          <t>Validación</t>
        </is>
      </c>
      <c r="F5" s="13" t="inlineStr">
        <is>
          <t>Alta</t>
        </is>
      </c>
      <c r="G5" s="13" t="inlineStr">
        <is>
          <t>Usuario en el formulario de alta de artículo, con el nombre completado.</t>
        </is>
      </c>
      <c r="H5" s="13" t="inlineStr">
        <is>
          <t>Nombre: Cemento Portland x50kg | Categoría: (sin seleccionar) | Marca: Loma Negra | Unidad: Bolsa</t>
        </is>
      </c>
      <c r="I5" s="13" t="inlineStr">
        <is>
          <t>1. Dejar sin seleccionar la categoría (o, en pruebas equivalentes, la marca o la unidad de medida).
2. Presionar "Guardar".</t>
        </is>
      </c>
      <c r="J5" s="13" t="inlineStr">
        <is>
          <t>El sistema rechaza la operación (HTTP 400) e informa que el campo es obligatorio; el artículo no se crea.</t>
        </is>
      </c>
      <c r="K5" s="13" t="inlineStr">
        <is>
          <t>Pendiente de ejecución</t>
        </is>
      </c>
      <c r="L5" s="13" t="inlineStr">
        <is>
          <t>Pendiente</t>
        </is>
      </c>
      <c r="M5" s="13" t="inlineStr">
        <is>
          <t>N/A</t>
        </is>
      </c>
      <c r="N5" s="13" t="inlineStr">
        <is>
          <t>Pendiente</t>
        </is>
      </c>
      <c r="O5" s="13" t="inlineStr">
        <is>
          <t>gonzavillalba02</t>
        </is>
      </c>
      <c r="P5" s="13" t="inlineStr">
        <is>
          <t>—</t>
        </is>
      </c>
      <c r="Q5" s="13" t="inlineStr">
        <is>
          <t>N/A</t>
        </is>
      </c>
      <c r="R5" s="13" t="inlineStr">
        <is>
          <t>—</t>
        </is>
      </c>
    </row>
    <row r="6" ht="90" customHeight="1">
      <c r="A6" s="13" t="inlineStr">
        <is>
          <t>TC-STK-01-05</t>
        </is>
      </c>
      <c r="B6" s="13" t="inlineStr">
        <is>
          <t>US-STK-01</t>
        </is>
      </c>
      <c r="C6" s="13" t="inlineStr">
        <is>
          <t>#6</t>
        </is>
      </c>
      <c r="D6" s="13" t="inlineStr">
        <is>
          <t>CA-04 — El código de barras no puede estar duplicado</t>
        </is>
      </c>
      <c r="E6" s="13" t="inlineStr">
        <is>
          <t>Caso de error</t>
        </is>
      </c>
      <c r="F6" s="13" t="inlineStr">
        <is>
          <t>Alta</t>
        </is>
      </c>
      <c r="G6" s="13" t="inlineStr">
        <is>
          <t>Ya existe un artículo con código de barras "7791234567890".</t>
        </is>
      </c>
      <c r="H6" s="13" t="inlineStr">
        <is>
          <t>Código de barras: 7791234567890 (ya usado por otro artículo)</t>
        </is>
      </c>
      <c r="I6" s="13" t="inlineStr">
        <is>
          <t>1. Completar el formulario de alta de un artículo nuevo con datos válidos.
2. Ingresar el mismo código de barras "7791234567890".
3. Presionar "Guardar".</t>
        </is>
      </c>
      <c r="J6" s="13" t="inlineStr">
        <is>
          <t>El sistema rechaza la operación (HTTP 409) e informa que el código de barras ya existe en otro artículo; el artículo no se crea.</t>
        </is>
      </c>
      <c r="K6" s="13" t="inlineStr">
        <is>
          <t>Pendiente de ejecución</t>
        </is>
      </c>
      <c r="L6" s="13" t="inlineStr">
        <is>
          <t>Pendiente</t>
        </is>
      </c>
      <c r="M6" s="13" t="inlineStr">
        <is>
          <t>N/A</t>
        </is>
      </c>
      <c r="N6" s="13" t="inlineStr">
        <is>
          <t>Pendiente</t>
        </is>
      </c>
      <c r="O6" s="13" t="inlineStr">
        <is>
          <t>gonzavillalba02</t>
        </is>
      </c>
      <c r="P6" s="13" t="inlineStr">
        <is>
          <t>—</t>
        </is>
      </c>
      <c r="Q6" s="13" t="inlineStr">
        <is>
          <t>N/A</t>
        </is>
      </c>
      <c r="R6" s="13" t="inlineStr">
        <is>
          <t>—</t>
        </is>
      </c>
    </row>
    <row r="7" ht="90" customHeight="1">
      <c r="A7" s="13" t="inlineStr">
        <is>
          <t>TC-STK-01-06</t>
        </is>
      </c>
      <c r="B7" s="13" t="inlineStr">
        <is>
          <t>US-STK-01</t>
        </is>
      </c>
      <c r="C7" s="13" t="inlineStr">
        <is>
          <t>#6</t>
        </is>
      </c>
      <c r="D7" s="13" t="inlineStr">
        <is>
          <t>CA-03 — Debe seleccionarse una categoría, marca y unidad de medida existentes y activas</t>
        </is>
      </c>
      <c r="E7" s="13" t="inlineStr">
        <is>
          <t>Caso de error</t>
        </is>
      </c>
      <c r="F7" s="13" t="inlineStr">
        <is>
          <t>Alta</t>
        </is>
      </c>
      <c r="G7" s="13" t="inlineStr">
        <is>
          <t>Existe una categoría, marca o unidad de medida inactiva (o se dispone de un ID inexistente para alguna de ellas).</t>
        </is>
      </c>
      <c r="H7" s="13" t="inlineStr">
        <is>
          <t>Categoría: id inexistente o categoría marcada Inactiva</t>
        </is>
      </c>
      <c r="I7" s="13" t="inlineStr">
        <is>
          <t>1. Completar el formulario de alta de artículo referenciando esa categoría/marca/unidad de medida inactiva o inexistente.
2. Presionar "Guardar".</t>
        </is>
      </c>
      <c r="J7" s="13" t="inlineStr">
        <is>
          <t>El sistema rechaza la operación (HTTP 422) e informa que la referencia no existe o está inactiva; el artículo no se crea.</t>
        </is>
      </c>
      <c r="K7" s="13" t="inlineStr">
        <is>
          <t>Pendiente de ejecución</t>
        </is>
      </c>
      <c r="L7" s="13" t="inlineStr">
        <is>
          <t>Pendiente</t>
        </is>
      </c>
      <c r="M7" s="13" t="inlineStr">
        <is>
          <t>N/A</t>
        </is>
      </c>
      <c r="N7" s="13" t="inlineStr">
        <is>
          <t>Pendiente</t>
        </is>
      </c>
      <c r="O7" s="13" t="inlineStr">
        <is>
          <t>gonzavillalba02</t>
        </is>
      </c>
      <c r="P7" s="13" t="inlineStr">
        <is>
          <t>—</t>
        </is>
      </c>
      <c r="Q7" s="13" t="inlineStr">
        <is>
          <t>N/A</t>
        </is>
      </c>
      <c r="R7" s="13" t="inlineStr">
        <is>
          <t>—</t>
        </is>
      </c>
    </row>
    <row r="8" ht="90" customHeight="1">
      <c r="A8" s="13" t="inlineStr">
        <is>
          <t>TC-STK-02-01</t>
        </is>
      </c>
      <c r="B8" s="13" t="inlineStr">
        <is>
          <t>US-STK-02</t>
        </is>
      </c>
      <c r="C8" s="13" t="inlineStr">
        <is>
          <t>#7</t>
        </is>
      </c>
      <c r="D8" s="13" t="inlineStr">
        <is>
          <t>CA-01 — No pueden existir categorías duplicadas (por nombre); CA-02 — El nombre es obligatorio</t>
        </is>
      </c>
      <c r="E8" s="13" t="inlineStr">
        <is>
          <t>Camino feliz</t>
        </is>
      </c>
      <c r="F8" s="13" t="inlineStr">
        <is>
          <t>Alta</t>
        </is>
      </c>
      <c r="G8" s="13" t="inlineStr">
        <is>
          <t>Usuario autenticado; no existe una categoría con el nombre a utilizar.</t>
        </is>
      </c>
      <c r="H8" s="13" t="inlineStr">
        <is>
          <t>Nombre: Cementos</t>
        </is>
      </c>
      <c r="I8" s="13" t="inlineStr">
        <is>
          <t>1. Ingresar al módulo Categorías.
2. Seleccionar "Nueva categoría".
3. Completar un nombre válido y no utilizado.
4. Guardar.</t>
        </is>
      </c>
      <c r="J8" s="13" t="inlineStr">
        <is>
          <t>La categoría se crea correctamente y aparece en el listado.</t>
        </is>
      </c>
      <c r="K8" s="13" t="inlineStr">
        <is>
          <t>Pendiente de ejecución</t>
        </is>
      </c>
      <c r="L8" s="13" t="inlineStr">
        <is>
          <t>Pendiente</t>
        </is>
      </c>
      <c r="M8" s="13" t="inlineStr">
        <is>
          <t>N/A</t>
        </is>
      </c>
      <c r="N8" s="13" t="inlineStr">
        <is>
          <t>Pendiente</t>
        </is>
      </c>
      <c r="O8" s="13" t="inlineStr">
        <is>
          <t>gonzavillalba02</t>
        </is>
      </c>
      <c r="P8" s="13" t="inlineStr">
        <is>
          <t>—</t>
        </is>
      </c>
      <c r="Q8" s="13" t="inlineStr">
        <is>
          <t>N/A</t>
        </is>
      </c>
      <c r="R8" s="13" t="inlineStr">
        <is>
          <t>—</t>
        </is>
      </c>
    </row>
    <row r="9" ht="90" customHeight="1">
      <c r="A9" s="13" t="inlineStr">
        <is>
          <t>TC-STK-02-02</t>
        </is>
      </c>
      <c r="B9" s="13" t="inlineStr">
        <is>
          <t>US-STK-02</t>
        </is>
      </c>
      <c r="C9" s="13" t="inlineStr">
        <is>
          <t>#7</t>
        </is>
      </c>
      <c r="D9" s="13" t="inlineStr">
        <is>
          <t>CA-03 — No puede eliminarse una categoría asociada a artículos</t>
        </is>
      </c>
      <c r="E9" s="13" t="inlineStr">
        <is>
          <t>Camino feliz</t>
        </is>
      </c>
      <c r="F9" s="13" t="inlineStr">
        <is>
          <t>Media</t>
        </is>
      </c>
      <c r="G9" s="13" t="inlineStr">
        <is>
          <t>Existe una categoría sin artículos asociados.</t>
        </is>
      </c>
      <c r="H9" s="13" t="inlineStr">
        <is>
          <t>Categoría: Herramientas (sin artículos asociados)</t>
        </is>
      </c>
      <c r="I9" s="13" t="inlineStr">
        <is>
          <t>1. Seleccionar la categoría.
2. Elegir "Eliminar".
3. Confirmar la eliminación.</t>
        </is>
      </c>
      <c r="J9" s="13" t="inlineStr">
        <is>
          <t>La categoría se elimina correctamente y deja de aparecer en el listado.</t>
        </is>
      </c>
      <c r="K9" s="13" t="inlineStr">
        <is>
          <t>Pendiente de ejecución</t>
        </is>
      </c>
      <c r="L9" s="13" t="inlineStr">
        <is>
          <t>Pendiente</t>
        </is>
      </c>
      <c r="M9" s="13" t="inlineStr">
        <is>
          <t>N/A</t>
        </is>
      </c>
      <c r="N9" s="13" t="inlineStr">
        <is>
          <t>Pendiente</t>
        </is>
      </c>
      <c r="O9" s="13" t="inlineStr">
        <is>
          <t>gonzavillalba02</t>
        </is>
      </c>
      <c r="P9" s="13" t="inlineStr">
        <is>
          <t>—</t>
        </is>
      </c>
      <c r="Q9" s="13" t="inlineStr">
        <is>
          <t>N/A</t>
        </is>
      </c>
      <c r="R9" s="13" t="inlineStr">
        <is>
          <t>—</t>
        </is>
      </c>
    </row>
    <row r="10" ht="90" customHeight="1">
      <c r="A10" s="13" t="inlineStr">
        <is>
          <t>TC-STK-02-03</t>
        </is>
      </c>
      <c r="B10" s="13" t="inlineStr">
        <is>
          <t>US-STK-02</t>
        </is>
      </c>
      <c r="C10" s="13" t="inlineStr">
        <is>
          <t>#7</t>
        </is>
      </c>
      <c r="D10" s="13" t="inlineStr">
        <is>
          <t>CA-02 — El nombre es obligatorio</t>
        </is>
      </c>
      <c r="E10" s="13" t="inlineStr">
        <is>
          <t>Validación</t>
        </is>
      </c>
      <c r="F10" s="13" t="inlineStr">
        <is>
          <t>Alta</t>
        </is>
      </c>
      <c r="G10" s="13" t="inlineStr">
        <is>
          <t>Usuario en el formulario de alta de categoría.</t>
        </is>
      </c>
      <c r="H10" s="13" t="inlineStr">
        <is>
          <t>Nombre: (vacío)</t>
        </is>
      </c>
      <c r="I10" s="13" t="inlineStr">
        <is>
          <t>1. Dejar el campo Nombre vacío.
2. Guardar.</t>
        </is>
      </c>
      <c r="J10" s="13" t="inlineStr">
        <is>
          <t>El sistema rechaza la operación (HTTP 400) e informa que el nombre es obligatorio.</t>
        </is>
      </c>
      <c r="K10" s="13" t="inlineStr">
        <is>
          <t>Pendiente de ejecución</t>
        </is>
      </c>
      <c r="L10" s="13" t="inlineStr">
        <is>
          <t>Pendiente</t>
        </is>
      </c>
      <c r="M10" s="13" t="inlineStr">
        <is>
          <t>N/A</t>
        </is>
      </c>
      <c r="N10" s="13" t="inlineStr">
        <is>
          <t>Pendiente</t>
        </is>
      </c>
      <c r="O10" s="13" t="inlineStr">
        <is>
          <t>gonzavillalba02</t>
        </is>
      </c>
      <c r="P10" s="13" t="inlineStr">
        <is>
          <t>—</t>
        </is>
      </c>
      <c r="Q10" s="13" t="inlineStr">
        <is>
          <t>N/A</t>
        </is>
      </c>
      <c r="R10" s="13" t="inlineStr">
        <is>
          <t>—</t>
        </is>
      </c>
    </row>
    <row r="11" ht="90" customHeight="1">
      <c r="A11" s="13" t="inlineStr">
        <is>
          <t>TC-STK-02-04</t>
        </is>
      </c>
      <c r="B11" s="13" t="inlineStr">
        <is>
          <t>US-STK-02</t>
        </is>
      </c>
      <c r="C11" s="13" t="inlineStr">
        <is>
          <t>#7</t>
        </is>
      </c>
      <c r="D11" s="13" t="inlineStr">
        <is>
          <t>CA-01 — No pueden existir categorías duplicadas (por nombre)</t>
        </is>
      </c>
      <c r="E11" s="13" t="inlineStr">
        <is>
          <t>Caso de error</t>
        </is>
      </c>
      <c r="F11" s="13" t="inlineStr">
        <is>
          <t>Alta</t>
        </is>
      </c>
      <c r="G11" s="13" t="inlineStr">
        <is>
          <t>Ya existe una categoría con un nombre determinado.</t>
        </is>
      </c>
      <c r="H11" s="13" t="inlineStr">
        <is>
          <t>Nombre: Cementos (ya existente)</t>
        </is>
      </c>
      <c r="I11" s="13" t="inlineStr">
        <is>
          <t>1. Intentar crear una nueva categoría usando ese mismo nombre.
2. Guardar.</t>
        </is>
      </c>
      <c r="J11" s="13" t="inlineStr">
        <is>
          <t>El sistema rechaza la operación (HTTP 409) e informa que el nombre ya existe.</t>
        </is>
      </c>
      <c r="K11" s="13" t="inlineStr">
        <is>
          <t>Pendiente de ejecución</t>
        </is>
      </c>
      <c r="L11" s="13" t="inlineStr">
        <is>
          <t>Pendiente</t>
        </is>
      </c>
      <c r="M11" s="13" t="inlineStr">
        <is>
          <t>N/A</t>
        </is>
      </c>
      <c r="N11" s="13" t="inlineStr">
        <is>
          <t>Pendiente</t>
        </is>
      </c>
      <c r="O11" s="13" t="inlineStr">
        <is>
          <t>gonzavillalba02</t>
        </is>
      </c>
      <c r="P11" s="13" t="inlineStr">
        <is>
          <t>—</t>
        </is>
      </c>
      <c r="Q11" s="13" t="inlineStr">
        <is>
          <t>N/A</t>
        </is>
      </c>
      <c r="R11" s="13" t="inlineStr">
        <is>
          <t>—</t>
        </is>
      </c>
    </row>
    <row r="12" ht="90" customHeight="1">
      <c r="A12" s="13" t="inlineStr">
        <is>
          <t>TC-STK-02-05</t>
        </is>
      </c>
      <c r="B12" s="13" t="inlineStr">
        <is>
          <t>US-STK-02</t>
        </is>
      </c>
      <c r="C12" s="13" t="inlineStr">
        <is>
          <t>#7</t>
        </is>
      </c>
      <c r="D12" s="13" t="inlineStr">
        <is>
          <t>CA-03 — No puede eliminarse una categoría asociada a artículos</t>
        </is>
      </c>
      <c r="E12" s="13" t="inlineStr">
        <is>
          <t>Caso de error</t>
        </is>
      </c>
      <c r="F12" s="13" t="inlineStr">
        <is>
          <t>Media</t>
        </is>
      </c>
      <c r="G12" s="13" t="inlineStr">
        <is>
          <t>Existe una categoría con al menos un artículo asociado.</t>
        </is>
      </c>
      <c r="H12" s="13" t="inlineStr">
        <is>
          <t>Categoría: Cementos (con artículos asociados)</t>
        </is>
      </c>
      <c r="I12" s="13" t="inlineStr">
        <is>
          <t>1. Seleccionar la categoría.
2. Intentar eliminarla.</t>
        </is>
      </c>
      <c r="J12" s="13" t="inlineStr">
        <is>
          <t>El sistema rechaza la eliminación (HTTP 409), informa cuántos artículos la usan, y la categoría no se borra.</t>
        </is>
      </c>
      <c r="K12" s="13" t="inlineStr">
        <is>
          <t>Pendiente de ejecución</t>
        </is>
      </c>
      <c r="L12" s="13" t="inlineStr">
        <is>
          <t>Pendiente</t>
        </is>
      </c>
      <c r="M12" s="13" t="inlineStr">
        <is>
          <t>N/A</t>
        </is>
      </c>
      <c r="N12" s="13" t="inlineStr">
        <is>
          <t>Pendiente</t>
        </is>
      </c>
      <c r="O12" s="13" t="inlineStr">
        <is>
          <t>gonzavillalba02</t>
        </is>
      </c>
      <c r="P12" s="13" t="inlineStr">
        <is>
          <t>—</t>
        </is>
      </c>
      <c r="Q12" s="13" t="inlineStr">
        <is>
          <t>N/A</t>
        </is>
      </c>
      <c r="R12" s="13" t="inlineStr">
        <is>
          <t>—</t>
        </is>
      </c>
    </row>
    <row r="13" ht="90" customHeight="1">
      <c r="A13" s="13" t="inlineStr">
        <is>
          <t>TC-STK-03-01</t>
        </is>
      </c>
      <c r="B13" s="13" t="inlineStr">
        <is>
          <t>US-STK-03</t>
        </is>
      </c>
      <c r="C13" s="13" t="inlineStr">
        <is>
          <t>#8</t>
        </is>
      </c>
      <c r="D13" s="13" t="inlineStr">
        <is>
          <t>CA-01 — No pueden existir marcas duplicadas; CA-02 — El nombre es obligatorio</t>
        </is>
      </c>
      <c r="E13" s="13" t="inlineStr">
        <is>
          <t>Camino feliz</t>
        </is>
      </c>
      <c r="F13" s="13" t="inlineStr">
        <is>
          <t>Alta</t>
        </is>
      </c>
      <c r="G13" s="13" t="inlineStr">
        <is>
          <t>Usuario autenticado; no existe una marca con el nombre a utilizar.</t>
        </is>
      </c>
      <c r="H13" s="13" t="inlineStr">
        <is>
          <t>Nombre: Loma Negra</t>
        </is>
      </c>
      <c r="I13" s="13" t="inlineStr">
        <is>
          <t>1. Ingresar al módulo Marcas.
2. Seleccionar "Nueva marca".
3. Completar un nombre válido y no utilizado.
4. Guardar.</t>
        </is>
      </c>
      <c r="J13" s="13" t="inlineStr">
        <is>
          <t>La marca se crea correctamente y aparece en el listado.</t>
        </is>
      </c>
      <c r="K13" s="13" t="inlineStr">
        <is>
          <t>Pendiente de ejecución</t>
        </is>
      </c>
      <c r="L13" s="13" t="inlineStr">
        <is>
          <t>Pendiente</t>
        </is>
      </c>
      <c r="M13" s="13" t="inlineStr">
        <is>
          <t>N/A</t>
        </is>
      </c>
      <c r="N13" s="13" t="inlineStr">
        <is>
          <t>Pendiente</t>
        </is>
      </c>
      <c r="O13" s="13" t="inlineStr">
        <is>
          <t>gonzavillalba02</t>
        </is>
      </c>
      <c r="P13" s="13" t="inlineStr">
        <is>
          <t>—</t>
        </is>
      </c>
      <c r="Q13" s="13" t="inlineStr">
        <is>
          <t>N/A</t>
        </is>
      </c>
      <c r="R13" s="13" t="inlineStr">
        <is>
          <t>—</t>
        </is>
      </c>
    </row>
    <row r="14" ht="90" customHeight="1">
      <c r="A14" s="13" t="inlineStr">
        <is>
          <t>TC-STK-03-02</t>
        </is>
      </c>
      <c r="B14" s="13" t="inlineStr">
        <is>
          <t>US-STK-03</t>
        </is>
      </c>
      <c r="C14" s="13" t="inlineStr">
        <is>
          <t>#8</t>
        </is>
      </c>
      <c r="D14" s="13" t="inlineStr">
        <is>
          <t>CA-03 — No puede eliminarse una marca asociada a artículos</t>
        </is>
      </c>
      <c r="E14" s="13" t="inlineStr">
        <is>
          <t>Camino feliz</t>
        </is>
      </c>
      <c r="F14" s="13" t="inlineStr">
        <is>
          <t>Media</t>
        </is>
      </c>
      <c r="G14" s="13" t="inlineStr">
        <is>
          <t>Existe una marca sin artículos asociados.</t>
        </is>
      </c>
      <c r="H14" s="13" t="inlineStr">
        <is>
          <t>Marca: Stanley (sin artículos asociados)</t>
        </is>
      </c>
      <c r="I14" s="13" t="inlineStr">
        <is>
          <t>1. Seleccionar la marca.
2. Elegir "Eliminar".
3. Confirmar la eliminación.</t>
        </is>
      </c>
      <c r="J14" s="13" t="inlineStr">
        <is>
          <t>La marca se elimina correctamente y deja de aparecer en el listado.</t>
        </is>
      </c>
      <c r="K14" s="13" t="inlineStr">
        <is>
          <t>Pendiente de ejecución</t>
        </is>
      </c>
      <c r="L14" s="13" t="inlineStr">
        <is>
          <t>Pendiente</t>
        </is>
      </c>
      <c r="M14" s="13" t="inlineStr">
        <is>
          <t>N/A</t>
        </is>
      </c>
      <c r="N14" s="13" t="inlineStr">
        <is>
          <t>Pendiente</t>
        </is>
      </c>
      <c r="O14" s="13" t="inlineStr">
        <is>
          <t>gonzavillalba02</t>
        </is>
      </c>
      <c r="P14" s="13" t="inlineStr">
        <is>
          <t>—</t>
        </is>
      </c>
      <c r="Q14" s="13" t="inlineStr">
        <is>
          <t>N/A</t>
        </is>
      </c>
      <c r="R14" s="13" t="inlineStr">
        <is>
          <t>—</t>
        </is>
      </c>
    </row>
    <row r="15" ht="90" customHeight="1">
      <c r="A15" s="13" t="inlineStr">
        <is>
          <t>TC-STK-03-03</t>
        </is>
      </c>
      <c r="B15" s="13" t="inlineStr">
        <is>
          <t>US-STK-03</t>
        </is>
      </c>
      <c r="C15" s="13" t="inlineStr">
        <is>
          <t>#8</t>
        </is>
      </c>
      <c r="D15" s="13" t="inlineStr">
        <is>
          <t>CA-02 — El nombre es obligatorio</t>
        </is>
      </c>
      <c r="E15" s="13" t="inlineStr">
        <is>
          <t>Validación</t>
        </is>
      </c>
      <c r="F15" s="13" t="inlineStr">
        <is>
          <t>Alta</t>
        </is>
      </c>
      <c r="G15" s="13" t="inlineStr">
        <is>
          <t>Usuario en el formulario de alta de marca.</t>
        </is>
      </c>
      <c r="H15" s="13" t="inlineStr">
        <is>
          <t>Nombre: (vacío)</t>
        </is>
      </c>
      <c r="I15" s="13" t="inlineStr">
        <is>
          <t>1. Dejar el campo Nombre vacío.
2. Guardar.</t>
        </is>
      </c>
      <c r="J15" s="13" t="inlineStr">
        <is>
          <t>El sistema rechaza la operación (HTTP 400) e informa que el nombre es obligatorio.</t>
        </is>
      </c>
      <c r="K15" s="13" t="inlineStr">
        <is>
          <t>Pendiente de ejecución</t>
        </is>
      </c>
      <c r="L15" s="13" t="inlineStr">
        <is>
          <t>Pendiente</t>
        </is>
      </c>
      <c r="M15" s="13" t="inlineStr">
        <is>
          <t>N/A</t>
        </is>
      </c>
      <c r="N15" s="13" t="inlineStr">
        <is>
          <t>Pendiente</t>
        </is>
      </c>
      <c r="O15" s="13" t="inlineStr">
        <is>
          <t>gonzavillalba02</t>
        </is>
      </c>
      <c r="P15" s="13" t="inlineStr">
        <is>
          <t>—</t>
        </is>
      </c>
      <c r="Q15" s="13" t="inlineStr">
        <is>
          <t>N/A</t>
        </is>
      </c>
      <c r="R15" s="13" t="inlineStr">
        <is>
          <t>—</t>
        </is>
      </c>
    </row>
    <row r="16" ht="90" customHeight="1">
      <c r="A16" s="13" t="inlineStr">
        <is>
          <t>TC-STK-03-04</t>
        </is>
      </c>
      <c r="B16" s="13" t="inlineStr">
        <is>
          <t>US-STK-03</t>
        </is>
      </c>
      <c r="C16" s="13" t="inlineStr">
        <is>
          <t>#8</t>
        </is>
      </c>
      <c r="D16" s="13" t="inlineStr">
        <is>
          <t>CA-01 — No pueden existir marcas duplicadas</t>
        </is>
      </c>
      <c r="E16" s="13" t="inlineStr">
        <is>
          <t>Caso de error</t>
        </is>
      </c>
      <c r="F16" s="13" t="inlineStr">
        <is>
          <t>Alta</t>
        </is>
      </c>
      <c r="G16" s="13" t="inlineStr">
        <is>
          <t>Ya existe una marca con un nombre determinado.</t>
        </is>
      </c>
      <c r="H16" s="13" t="inlineStr">
        <is>
          <t>Nombre: Loma Negra (ya existente)</t>
        </is>
      </c>
      <c r="I16" s="13" t="inlineStr">
        <is>
          <t>1. Intentar crear una nueva marca usando ese mismo nombre.
2. Guardar.</t>
        </is>
      </c>
      <c r="J16" s="13" t="inlineStr">
        <is>
          <t>El sistema rechaza la operación (HTTP 409) e informa que el nombre ya existe.</t>
        </is>
      </c>
      <c r="K16" s="13" t="inlineStr">
        <is>
          <t>Pendiente de ejecución</t>
        </is>
      </c>
      <c r="L16" s="13" t="inlineStr">
        <is>
          <t>Pendiente</t>
        </is>
      </c>
      <c r="M16" s="13" t="inlineStr">
        <is>
          <t>N/A</t>
        </is>
      </c>
      <c r="N16" s="13" t="inlineStr">
        <is>
          <t>Pendiente</t>
        </is>
      </c>
      <c r="O16" s="13" t="inlineStr">
        <is>
          <t>gonzavillalba02</t>
        </is>
      </c>
      <c r="P16" s="13" t="inlineStr">
        <is>
          <t>—</t>
        </is>
      </c>
      <c r="Q16" s="13" t="inlineStr">
        <is>
          <t>N/A</t>
        </is>
      </c>
      <c r="R16" s="13" t="inlineStr">
        <is>
          <t>—</t>
        </is>
      </c>
    </row>
    <row r="17" ht="90" customHeight="1">
      <c r="A17" s="13" t="inlineStr">
        <is>
          <t>TC-STK-03-05</t>
        </is>
      </c>
      <c r="B17" s="13" t="inlineStr">
        <is>
          <t>US-STK-03</t>
        </is>
      </c>
      <c r="C17" s="13" t="inlineStr">
        <is>
          <t>#8</t>
        </is>
      </c>
      <c r="D17" s="13" t="inlineStr">
        <is>
          <t>CA-03 — No puede eliminarse una marca asociada a artículos</t>
        </is>
      </c>
      <c r="E17" s="13" t="inlineStr">
        <is>
          <t>Caso de error</t>
        </is>
      </c>
      <c r="F17" s="13" t="inlineStr">
        <is>
          <t>Media</t>
        </is>
      </c>
      <c r="G17" s="13" t="inlineStr">
        <is>
          <t>Existe una marca con al menos un artículo asociado.</t>
        </is>
      </c>
      <c r="H17" s="13" t="inlineStr">
        <is>
          <t>Marca: Loma Negra (con artículos asociados)</t>
        </is>
      </c>
      <c r="I17" s="13" t="inlineStr">
        <is>
          <t>1. Seleccionar la marca.
2. Intentar eliminarla.</t>
        </is>
      </c>
      <c r="J17" s="13" t="inlineStr">
        <is>
          <t>El sistema rechaza la eliminación (HTTP 409), informa cuántos artículos la usan, y la marca no se borra.</t>
        </is>
      </c>
      <c r="K17" s="13" t="inlineStr">
        <is>
          <t>Pendiente de ejecución</t>
        </is>
      </c>
      <c r="L17" s="13" t="inlineStr">
        <is>
          <t>Pendiente</t>
        </is>
      </c>
      <c r="M17" s="13" t="inlineStr">
        <is>
          <t>N/A</t>
        </is>
      </c>
      <c r="N17" s="13" t="inlineStr">
        <is>
          <t>Pendiente</t>
        </is>
      </c>
      <c r="O17" s="13" t="inlineStr">
        <is>
          <t>gonzavillalba02</t>
        </is>
      </c>
      <c r="P17" s="13" t="inlineStr">
        <is>
          <t>—</t>
        </is>
      </c>
      <c r="Q17" s="13" t="inlineStr">
        <is>
          <t>N/A</t>
        </is>
      </c>
      <c r="R17" s="13" t="inlineStr">
        <is>
          <t>—</t>
        </is>
      </c>
    </row>
    <row r="18" ht="90" customHeight="1">
      <c r="A18" s="13" t="inlineStr">
        <is>
          <t>TC-STK-04-01</t>
        </is>
      </c>
      <c r="B18" s="13" t="inlineStr">
        <is>
          <t>US-STK-04</t>
        </is>
      </c>
      <c r="C18" s="13" t="inlineStr">
        <is>
          <t>#9</t>
        </is>
      </c>
      <c r="D18" s="13" t="inlineStr">
        <is>
          <t>CA-01 — No pueden existir unidades duplicadas; CA-02 — El nombre es obligatorio; CA-04 — Se registran los factores de conversión (RF-PROD-01)</t>
        </is>
      </c>
      <c r="E18" s="13" t="inlineStr">
        <is>
          <t>Camino feliz</t>
        </is>
      </c>
      <c r="F18" s="13" t="inlineStr">
        <is>
          <t>Alta</t>
        </is>
      </c>
      <c r="G18" s="13" t="inlineStr">
        <is>
          <t>Usuario autenticado; no existe una unidad de medida con el nombre a utilizar.</t>
        </is>
      </c>
      <c r="H18" s="13" t="inlineStr">
        <is>
          <t>Nombre: Bolsa | factor_conversion: 1 | unidad_base_id: (ninguna)</t>
        </is>
      </c>
      <c r="I18" s="13" t="inlineStr">
        <is>
          <t>1. Ingresar al módulo Unidades de medida.
2. Seleccionar "Nueva unidad".
3. Completar un nombre no utilizado y un factor de conversión mayor a 0 (opcionalmente referenciando una unidad base existente).
4. Guardar.</t>
        </is>
      </c>
      <c r="J18" s="13" t="inlineStr">
        <is>
          <t>La unidad se crea correctamente y queda registrado su nombre y su factor de conversión.</t>
        </is>
      </c>
      <c r="K18" s="13" t="inlineStr">
        <is>
          <t>Pendiente de ejecución</t>
        </is>
      </c>
      <c r="L18" s="13" t="inlineStr">
        <is>
          <t>Pendiente</t>
        </is>
      </c>
      <c r="M18" s="13" t="inlineStr">
        <is>
          <t>N/A</t>
        </is>
      </c>
      <c r="N18" s="13" t="inlineStr">
        <is>
          <t>Pendiente</t>
        </is>
      </c>
      <c r="O18" s="13" t="inlineStr">
        <is>
          <t>gonzavillalba02</t>
        </is>
      </c>
      <c r="P18" s="13" t="inlineStr">
        <is>
          <t>—</t>
        </is>
      </c>
      <c r="Q18" s="13" t="inlineStr">
        <is>
          <t>N/A</t>
        </is>
      </c>
      <c r="R18" s="13" t="inlineStr">
        <is>
          <t>—</t>
        </is>
      </c>
    </row>
    <row r="19" ht="90" customHeight="1">
      <c r="A19" s="13" t="inlineStr">
        <is>
          <t>TC-STK-04-02</t>
        </is>
      </c>
      <c r="B19" s="13" t="inlineStr">
        <is>
          <t>US-STK-04</t>
        </is>
      </c>
      <c r="C19" s="13" t="inlineStr">
        <is>
          <t>#9</t>
        </is>
      </c>
      <c r="D19" s="13" t="inlineStr">
        <is>
          <t>CA-03 — Sólo pueden seleccionarse unidades activas</t>
        </is>
      </c>
      <c r="E19" s="13" t="inlineStr">
        <is>
          <t>Validación</t>
        </is>
      </c>
      <c r="F19" s="13" t="inlineStr">
        <is>
          <t>Media</t>
        </is>
      </c>
      <c r="G19" s="13" t="inlineStr">
        <is>
          <t>Existe una unidad de medida marcada como inactiva. [Ambigüedad: el issue no especifica un endpoint ni un código de estado concreto para este rechazo — ver observaciones.]</t>
        </is>
      </c>
      <c r="H19" s="13" t="inlineStr">
        <is>
          <t>Unidad: Docena, estado Inactiva</t>
        </is>
      </c>
      <c r="I19" s="13" t="inlineStr">
        <is>
          <t>1. Ingresar a una pantalla donde se selecciona una unidad de medida (por ejemplo, alta de artículo o definición de unidad base de otra unidad).
2. Buscar la unidad inactiva entre las opciones disponibles.</t>
        </is>
      </c>
      <c r="J19" s="13" t="inlineStr">
        <is>
          <t>La unidad inactiva no aparece disponible para selección; solo pueden seleccionarse unidades activas.</t>
        </is>
      </c>
      <c r="K19" s="13" t="inlineStr">
        <is>
          <t>Pendiente de ejecución</t>
        </is>
      </c>
      <c r="L19" s="13" t="inlineStr">
        <is>
          <t>Pendiente</t>
        </is>
      </c>
      <c r="M19" s="13" t="inlineStr">
        <is>
          <t>N/A</t>
        </is>
      </c>
      <c r="N19" s="13" t="inlineStr">
        <is>
          <t>Pendiente</t>
        </is>
      </c>
      <c r="O19" s="13" t="inlineStr">
        <is>
          <t>gonzavillalba02</t>
        </is>
      </c>
      <c r="P19" s="13" t="inlineStr">
        <is>
          <t>—</t>
        </is>
      </c>
      <c r="Q19" s="13" t="inlineStr">
        <is>
          <t>N/A</t>
        </is>
      </c>
      <c r="R19" s="13" t="inlineStr">
        <is>
          <t>Endpoint/código de rechazo no especificado en el issue; ver observación general.</t>
        </is>
      </c>
    </row>
    <row r="20" ht="90" customHeight="1">
      <c r="A20" s="13" t="inlineStr">
        <is>
          <t>TC-STK-04-03</t>
        </is>
      </c>
      <c r="B20" s="13" t="inlineStr">
        <is>
          <t>US-STK-04</t>
        </is>
      </c>
      <c r="C20" s="13" t="inlineStr">
        <is>
          <t>#9</t>
        </is>
      </c>
      <c r="D20" s="13" t="inlineStr">
        <is>
          <t>CA-01 — No pueden existir unidades duplicadas</t>
        </is>
      </c>
      <c r="E20" s="13" t="inlineStr">
        <is>
          <t>Caso de error</t>
        </is>
      </c>
      <c r="F20" s="13" t="inlineStr">
        <is>
          <t>Alta</t>
        </is>
      </c>
      <c r="G20" s="13" t="inlineStr">
        <is>
          <t>Ya existe una unidad de medida con un nombre determinado.</t>
        </is>
      </c>
      <c r="H20" s="13" t="inlineStr">
        <is>
          <t>Nombre: Bolsa (ya existente)</t>
        </is>
      </c>
      <c r="I20" s="13" t="inlineStr">
        <is>
          <t>1. Intentar crear una nueva unidad usando ese mismo nombre.
2. Guardar.</t>
        </is>
      </c>
      <c r="J20" s="13" t="inlineStr">
        <is>
          <t>El sistema rechaza la operación (HTTP 409) e informa que el nombre ya existe.</t>
        </is>
      </c>
      <c r="K20" s="13" t="inlineStr">
        <is>
          <t>Pendiente de ejecución</t>
        </is>
      </c>
      <c r="L20" s="13" t="inlineStr">
        <is>
          <t>Pendiente</t>
        </is>
      </c>
      <c r="M20" s="13" t="inlineStr">
        <is>
          <t>N/A</t>
        </is>
      </c>
      <c r="N20" s="13" t="inlineStr">
        <is>
          <t>Pendiente</t>
        </is>
      </c>
      <c r="O20" s="13" t="inlineStr">
        <is>
          <t>gonzavillalba02</t>
        </is>
      </c>
      <c r="P20" s="13" t="inlineStr">
        <is>
          <t>—</t>
        </is>
      </c>
      <c r="Q20" s="13" t="inlineStr">
        <is>
          <t>N/A</t>
        </is>
      </c>
      <c r="R20" s="13" t="inlineStr">
        <is>
          <t>—</t>
        </is>
      </c>
    </row>
    <row r="21" ht="90" customHeight="1">
      <c r="A21" s="13" t="inlineStr">
        <is>
          <t>TC-STK-04-04</t>
        </is>
      </c>
      <c r="B21" s="13" t="inlineStr">
        <is>
          <t>US-STK-04</t>
        </is>
      </c>
      <c r="C21" s="13" t="inlineStr">
        <is>
          <t>#9</t>
        </is>
      </c>
      <c r="D21" s="13" t="inlineStr">
        <is>
          <t>CA-04 — Se registran los factores de conversión (RF-PROD-01)</t>
        </is>
      </c>
      <c r="E21" s="13" t="inlineStr">
        <is>
          <t>Validación</t>
        </is>
      </c>
      <c r="F21" s="13" t="inlineStr">
        <is>
          <t>Alta</t>
        </is>
      </c>
      <c r="G21" s="13" t="inlineStr">
        <is>
          <t>Usuario en el formulario de alta de unidad de medida.</t>
        </is>
      </c>
      <c r="H21" s="13" t="inlineStr">
        <is>
          <t>factor_conversion: 0</t>
        </is>
      </c>
      <c r="I21" s="13" t="inlineStr">
        <is>
          <t>1. Completar el formulario con un factor_conversion igual o menor a 0.
2. Guardar.</t>
        </is>
      </c>
      <c r="J21" s="13" t="inlineStr">
        <is>
          <t>El sistema rechaza la operación (HTTP 400) e informa que el factor de conversión debe ser mayor a 0.</t>
        </is>
      </c>
      <c r="K21" s="13" t="inlineStr">
        <is>
          <t>Pendiente de ejecución</t>
        </is>
      </c>
      <c r="L21" s="13" t="inlineStr">
        <is>
          <t>Pendiente</t>
        </is>
      </c>
      <c r="M21" s="13" t="inlineStr">
        <is>
          <t>N/A</t>
        </is>
      </c>
      <c r="N21" s="13" t="inlineStr">
        <is>
          <t>Pendiente</t>
        </is>
      </c>
      <c r="O21" s="13" t="inlineStr">
        <is>
          <t>gonzavillalba02</t>
        </is>
      </c>
      <c r="P21" s="13" t="inlineStr">
        <is>
          <t>—</t>
        </is>
      </c>
      <c r="Q21" s="13" t="inlineStr">
        <is>
          <t>N/A</t>
        </is>
      </c>
      <c r="R21" s="13" t="inlineStr">
        <is>
          <t>—</t>
        </is>
      </c>
    </row>
    <row r="22" ht="90" customHeight="1">
      <c r="A22" s="13" t="inlineStr">
        <is>
          <t>TC-STK-04-05</t>
        </is>
      </c>
      <c r="B22" s="13" t="inlineStr">
        <is>
          <t>US-STK-04</t>
        </is>
      </c>
      <c r="C22" s="13" t="inlineStr">
        <is>
          <t>#9</t>
        </is>
      </c>
      <c r="D22" s="13" t="inlineStr">
        <is>
          <t>CA-04 — Se registran los factores de conversión (RF-PROD-01)</t>
        </is>
      </c>
      <c r="E22" s="13" t="inlineStr">
        <is>
          <t>Caso de error</t>
        </is>
      </c>
      <c r="F22" s="13" t="inlineStr">
        <is>
          <t>Media</t>
        </is>
      </c>
      <c r="G22" s="13" t="inlineStr">
        <is>
          <t>Usuario en el formulario de alta de unidad de medida.</t>
        </is>
      </c>
      <c r="H22" s="13" t="inlineStr">
        <is>
          <t>unidad_base_id: id inexistente</t>
        </is>
      </c>
      <c r="I22" s="13" t="inlineStr">
        <is>
          <t>1. Completar el formulario referenciando un unidad_base_id que no existe.
2. Guardar.</t>
        </is>
      </c>
      <c r="J22" s="13" t="inlineStr">
        <is>
          <t>El sistema rechaza la operación (HTTP 422) e informa que la unidad base referenciada no existe.</t>
        </is>
      </c>
      <c r="K22" s="13" t="inlineStr">
        <is>
          <t>Pendiente de ejecución</t>
        </is>
      </c>
      <c r="L22" s="13" t="inlineStr">
        <is>
          <t>Pendiente</t>
        </is>
      </c>
      <c r="M22" s="13" t="inlineStr">
        <is>
          <t>N/A</t>
        </is>
      </c>
      <c r="N22" s="13" t="inlineStr">
        <is>
          <t>Pendiente</t>
        </is>
      </c>
      <c r="O22" s="13" t="inlineStr">
        <is>
          <t>gonzavillalba02</t>
        </is>
      </c>
      <c r="P22" s="13" t="inlineStr">
        <is>
          <t>—</t>
        </is>
      </c>
      <c r="Q22" s="13" t="inlineStr">
        <is>
          <t>N/A</t>
        </is>
      </c>
      <c r="R22" s="13" t="inlineStr">
        <is>
          <t>—</t>
        </is>
      </c>
    </row>
    <row r="23" ht="90" customHeight="1">
      <c r="A23" s="13" t="inlineStr">
        <is>
          <t>TC-STK-05-01</t>
        </is>
      </c>
      <c r="B23" s="13" t="inlineStr">
        <is>
          <t>US-STK-05</t>
        </is>
      </c>
      <c r="C23" s="13" t="inlineStr">
        <is>
          <t>#10</t>
        </is>
      </c>
      <c r="D23" s="13" t="inlineStr">
        <is>
          <t>CA-01 — El nombre del depósito no puede repetirse; CA-02 — Dirección y localidad son obligatorias; CA-03 — Debe indicarse el tipo de depósito y la capacidad máxima</t>
        </is>
      </c>
      <c r="E23" s="13" t="inlineStr">
        <is>
          <t>Camino feliz</t>
        </is>
      </c>
      <c r="F23" s="13" t="inlineStr">
        <is>
          <t>Crítica</t>
        </is>
      </c>
      <c r="G23" s="13" t="inlineStr">
        <is>
          <t>Usuario autenticado; no existe un depósito con el nombre a utilizar.</t>
        </is>
      </c>
      <c r="H23" s="13" t="inlineStr">
        <is>
          <t>Nombre: Depósito C | Dirección: Av. Siempreviva 123 | Localidad: Salta | Tipo: sucursal | Capacidad máxima: 5000</t>
        </is>
      </c>
      <c r="I23" s="13" t="inlineStr">
        <is>
          <t>1. Ingresar al módulo Depósitos.
2. Seleccionar "Nuevo depósito".
3. Completar nombre (no utilizado), dirección, localidad, tipo de depósito y capacidad máxima.
4. Guardar.</t>
        </is>
      </c>
      <c r="J23" s="13" t="inlineStr">
        <is>
          <t>El depósito se crea correctamente con todos los datos ingresados.</t>
        </is>
      </c>
      <c r="K23" s="13" t="inlineStr">
        <is>
          <t>Pendiente de ejecución</t>
        </is>
      </c>
      <c r="L23" s="13" t="inlineStr">
        <is>
          <t>Pendiente</t>
        </is>
      </c>
      <c r="M23" s="13" t="inlineStr">
        <is>
          <t>N/A</t>
        </is>
      </c>
      <c r="N23" s="13" t="inlineStr">
        <is>
          <t>Pendiente</t>
        </is>
      </c>
      <c r="O23" s="13" t="inlineStr">
        <is>
          <t>TomasT04</t>
        </is>
      </c>
      <c r="P23" s="13" t="inlineStr">
        <is>
          <t>—</t>
        </is>
      </c>
      <c r="Q23" s="13" t="inlineStr">
        <is>
          <t>N/A</t>
        </is>
      </c>
      <c r="R23" s="13" t="inlineStr">
        <is>
          <t>—</t>
        </is>
      </c>
    </row>
    <row r="24" ht="90" customHeight="1">
      <c r="A24" s="13" t="inlineStr">
        <is>
          <t>TC-STK-05-02</t>
        </is>
      </c>
      <c r="B24" s="13" t="inlineStr">
        <is>
          <t>US-STK-05</t>
        </is>
      </c>
      <c r="C24" s="13" t="inlineStr">
        <is>
          <t>#10</t>
        </is>
      </c>
      <c r="D24" s="13" t="inlineStr">
        <is>
          <t>CA-04 — No puede eliminarse un depósito con stock asociado</t>
        </is>
      </c>
      <c r="E24" s="13" t="inlineStr">
        <is>
          <t>Camino feliz</t>
        </is>
      </c>
      <c r="F24" s="13" t="inlineStr">
        <is>
          <t>Media</t>
        </is>
      </c>
      <c r="G24" s="13" t="inlineStr">
        <is>
          <t>Existe un depósito sin stock asociado.</t>
        </is>
      </c>
      <c r="H24" s="13" t="inlineStr">
        <is>
          <t>Depósito C (sin stock asociado)</t>
        </is>
      </c>
      <c r="I24" s="13" t="inlineStr">
        <is>
          <t>1. Seleccionar el depósito.
2. Elegir "Eliminar".
3. Confirmar.</t>
        </is>
      </c>
      <c r="J24" s="13" t="inlineStr">
        <is>
          <t>El depósito se elimina correctamente.</t>
        </is>
      </c>
      <c r="K24" s="13" t="inlineStr">
        <is>
          <t>Pendiente de ejecución</t>
        </is>
      </c>
      <c r="L24" s="13" t="inlineStr">
        <is>
          <t>Pendiente</t>
        </is>
      </c>
      <c r="M24" s="13" t="inlineStr">
        <is>
          <t>N/A</t>
        </is>
      </c>
      <c r="N24" s="13" t="inlineStr">
        <is>
          <t>Pendiente</t>
        </is>
      </c>
      <c r="O24" s="13" t="inlineStr">
        <is>
          <t>TomasT04</t>
        </is>
      </c>
      <c r="P24" s="13" t="inlineStr">
        <is>
          <t>—</t>
        </is>
      </c>
      <c r="Q24" s="13" t="inlineStr">
        <is>
          <t>N/A</t>
        </is>
      </c>
      <c r="R24" s="13" t="inlineStr">
        <is>
          <t>—</t>
        </is>
      </c>
    </row>
    <row r="25" ht="90" customHeight="1">
      <c r="A25" s="13" t="inlineStr">
        <is>
          <t>TC-STK-05-03</t>
        </is>
      </c>
      <c r="B25" s="13" t="inlineStr">
        <is>
          <t>US-STK-05</t>
        </is>
      </c>
      <c r="C25" s="13" t="inlineStr">
        <is>
          <t>#10</t>
        </is>
      </c>
      <c r="D25" s="13" t="inlineStr">
        <is>
          <t>CA-05 — Quedan dados de alta Casa Central, Depósito A y Depósito B</t>
        </is>
      </c>
      <c r="E25" s="13" t="inlineStr">
        <is>
          <t>Camino feliz</t>
        </is>
      </c>
      <c r="F25" s="13" t="inlineStr">
        <is>
          <t>Alta</t>
        </is>
      </c>
      <c r="G25" s="13" t="inlineStr">
        <is>
          <t>Proyecto con la migración/seed inicial aplicada.</t>
        </is>
      </c>
      <c r="H25" s="13" t="inlineStr">
        <is>
          <t>N/A (verificación de datos semilla)</t>
        </is>
      </c>
      <c r="I25" s="13" t="inlineStr">
        <is>
          <t>1. Ingresar al listado de depósitos.</t>
        </is>
      </c>
      <c r="J25" s="13" t="inlineStr">
        <is>
          <t>Aparecen dados de alta Casa Central, Depósito A y Depósito B.</t>
        </is>
      </c>
      <c r="K25" s="13" t="inlineStr">
        <is>
          <t>Pendiente de ejecución</t>
        </is>
      </c>
      <c r="L25" s="13" t="inlineStr">
        <is>
          <t>Pendiente</t>
        </is>
      </c>
      <c r="M25" s="13" t="inlineStr">
        <is>
          <t>N/A</t>
        </is>
      </c>
      <c r="N25" s="13" t="inlineStr">
        <is>
          <t>Pendiente</t>
        </is>
      </c>
      <c r="O25" s="13" t="inlineStr">
        <is>
          <t>TomasT04</t>
        </is>
      </c>
      <c r="P25" s="13" t="inlineStr">
        <is>
          <t>—</t>
        </is>
      </c>
      <c r="Q25" s="13" t="inlineStr">
        <is>
          <t>N/A</t>
        </is>
      </c>
      <c r="R25" s="13" t="inlineStr">
        <is>
          <t>—</t>
        </is>
      </c>
    </row>
    <row r="26" ht="90" customHeight="1">
      <c r="A26" s="13" t="inlineStr">
        <is>
          <t>TC-STK-05-04</t>
        </is>
      </c>
      <c r="B26" s="13" t="inlineStr">
        <is>
          <t>US-STK-05</t>
        </is>
      </c>
      <c r="C26" s="13" t="inlineStr">
        <is>
          <t>#10</t>
        </is>
      </c>
      <c r="D26" s="13" t="inlineStr">
        <is>
          <t>CA-01 — El nombre del depósito no puede repetirse</t>
        </is>
      </c>
      <c r="E26" s="13" t="inlineStr">
        <is>
          <t>Caso de error</t>
        </is>
      </c>
      <c r="F26" s="13" t="inlineStr">
        <is>
          <t>Alta</t>
        </is>
      </c>
      <c r="G26" s="13" t="inlineStr">
        <is>
          <t>Ya existe un depósito con un nombre determinado.</t>
        </is>
      </c>
      <c r="H26" s="13" t="inlineStr">
        <is>
          <t>Nombre: Depósito A (ya existente)</t>
        </is>
      </c>
      <c r="I26" s="13" t="inlineStr">
        <is>
          <t>1. Intentar crear un nuevo depósito usando ese mismo nombre.
2. Guardar.</t>
        </is>
      </c>
      <c r="J26" s="13" t="inlineStr">
        <is>
          <t>El sistema rechaza la operación (HTTP 409) e informa que el nombre ya existe.</t>
        </is>
      </c>
      <c r="K26" s="13" t="inlineStr">
        <is>
          <t>Pendiente de ejecución</t>
        </is>
      </c>
      <c r="L26" s="13" t="inlineStr">
        <is>
          <t>Pendiente</t>
        </is>
      </c>
      <c r="M26" s="13" t="inlineStr">
        <is>
          <t>N/A</t>
        </is>
      </c>
      <c r="N26" s="13" t="inlineStr">
        <is>
          <t>Pendiente</t>
        </is>
      </c>
      <c r="O26" s="13" t="inlineStr">
        <is>
          <t>TomasT04</t>
        </is>
      </c>
      <c r="P26" s="13" t="inlineStr">
        <is>
          <t>—</t>
        </is>
      </c>
      <c r="Q26" s="13" t="inlineStr">
        <is>
          <t>N/A</t>
        </is>
      </c>
      <c r="R26" s="13" t="inlineStr">
        <is>
          <t>—</t>
        </is>
      </c>
    </row>
    <row r="27" ht="90" customHeight="1">
      <c r="A27" s="13" t="inlineStr">
        <is>
          <t>TC-STK-05-05</t>
        </is>
      </c>
      <c r="B27" s="13" t="inlineStr">
        <is>
          <t>US-STK-05</t>
        </is>
      </c>
      <c r="C27" s="13" t="inlineStr">
        <is>
          <t>#10</t>
        </is>
      </c>
      <c r="D27" s="13" t="inlineStr">
        <is>
          <t>CA-02 — Dirección y localidad son obligatorias; CA-03 — Debe indicarse el tipo de depósito y la capacidad máxima</t>
        </is>
      </c>
      <c r="E27" s="13" t="inlineStr">
        <is>
          <t>Validación</t>
        </is>
      </c>
      <c r="F27" s="13" t="inlineStr">
        <is>
          <t>Alta</t>
        </is>
      </c>
      <c r="G27" s="13" t="inlineStr">
        <is>
          <t>Usuario en el formulario de alta de depósito.</t>
        </is>
      </c>
      <c r="H27" s="13" t="inlineStr">
        <is>
          <t>Nombre: Depósito D | Dirección: (vacía) | Localidad: (vacía) | Tipo: (sin indicar)</t>
        </is>
      </c>
      <c r="I27" s="13" t="inlineStr">
        <is>
          <t>1. Dejar sin completar dirección, localidad o tipo de depósito.
2. Guardar.</t>
        </is>
      </c>
      <c r="J27" s="13" t="inlineStr">
        <is>
          <t>El sistema rechaza la operación (HTTP 400) e informa que el campo es obligatorio.</t>
        </is>
      </c>
      <c r="K27" s="13" t="inlineStr">
        <is>
          <t>Pendiente de ejecución</t>
        </is>
      </c>
      <c r="L27" s="13" t="inlineStr">
        <is>
          <t>Pendiente</t>
        </is>
      </c>
      <c r="M27" s="13" t="inlineStr">
        <is>
          <t>N/A</t>
        </is>
      </c>
      <c r="N27" s="13" t="inlineStr">
        <is>
          <t>Pendiente</t>
        </is>
      </c>
      <c r="O27" s="13" t="inlineStr">
        <is>
          <t>TomasT04</t>
        </is>
      </c>
      <c r="P27" s="13" t="inlineStr">
        <is>
          <t>—</t>
        </is>
      </c>
      <c r="Q27" s="13" t="inlineStr">
        <is>
          <t>N/A</t>
        </is>
      </c>
      <c r="R27" s="13" t="inlineStr">
        <is>
          <t>—</t>
        </is>
      </c>
    </row>
    <row r="28" ht="90" customHeight="1">
      <c r="A28" s="13" t="inlineStr">
        <is>
          <t>TC-STK-05-06</t>
        </is>
      </c>
      <c r="B28" s="13" t="inlineStr">
        <is>
          <t>US-STK-05</t>
        </is>
      </c>
      <c r="C28" s="13" t="inlineStr">
        <is>
          <t>#10</t>
        </is>
      </c>
      <c r="D28" s="13" t="inlineStr">
        <is>
          <t>CA-04 — No puede eliminarse un depósito con stock asociado</t>
        </is>
      </c>
      <c r="E28" s="13" t="inlineStr">
        <is>
          <t>Caso de error</t>
        </is>
      </c>
      <c r="F28" s="13" t="inlineStr">
        <is>
          <t>Alta</t>
        </is>
      </c>
      <c r="G28" s="13" t="inlineStr">
        <is>
          <t>Existe un depósito con un registro de stock asociado (aunque la cantidad sea 0).</t>
        </is>
      </c>
      <c r="H28" s="13" t="inlineStr">
        <is>
          <t>Depósito A (con registro de stock, cantidad = 0)</t>
        </is>
      </c>
      <c r="I28" s="13" t="inlineStr">
        <is>
          <t>1. Seleccionar el depósito.
2. Intentar eliminarlo.</t>
        </is>
      </c>
      <c r="J28" s="13" t="inlineStr">
        <is>
          <t>El sistema rechaza la eliminación (HTTP 409); el depósito no se borra, aunque la cantidad de stock asociada sea 0.</t>
        </is>
      </c>
      <c r="K28" s="13" t="inlineStr">
        <is>
          <t>Pendiente de ejecución</t>
        </is>
      </c>
      <c r="L28" s="13" t="inlineStr">
        <is>
          <t>Pendiente</t>
        </is>
      </c>
      <c r="M28" s="13" t="inlineStr">
        <is>
          <t>N/A</t>
        </is>
      </c>
      <c r="N28" s="13" t="inlineStr">
        <is>
          <t>Pendiente</t>
        </is>
      </c>
      <c r="O28" s="13" t="inlineStr">
        <is>
          <t>TomasT04</t>
        </is>
      </c>
      <c r="P28" s="13" t="inlineStr">
        <is>
          <t>—</t>
        </is>
      </c>
      <c r="Q28" s="13" t="inlineStr">
        <is>
          <t>N/A</t>
        </is>
      </c>
      <c r="R28" s="13" t="inlineStr">
        <is>
          <t>—</t>
        </is>
      </c>
    </row>
    <row r="29" ht="90" customHeight="1">
      <c r="A29" s="13" t="inlineStr">
        <is>
          <t>TC-STK-06-01</t>
        </is>
      </c>
      <c r="B29" s="13" t="inlineStr">
        <is>
          <t>US-STK-06</t>
        </is>
      </c>
      <c r="C29" s="13" t="inlineStr">
        <is>
          <t>#11</t>
        </is>
      </c>
      <c r="D29" s="13" t="inlineStr">
        <is>
          <t>CA-02 — Puede configurarse stock mínimo y máximo por artículo/depósito; CA-04 — Cada registro vincula un artículo con un depósito</t>
        </is>
      </c>
      <c r="E29" s="13" t="inlineStr">
        <is>
          <t>Camino feliz</t>
        </is>
      </c>
      <c r="F29" s="13" t="inlineStr">
        <is>
          <t>Crítica</t>
        </is>
      </c>
      <c r="G29" s="13" t="inlineStr">
        <is>
          <t>Usuario autenticado; existen un artículo y un depósito válidos, sin configuración previa para ese par.</t>
        </is>
      </c>
      <c r="H29" s="13" t="inlineStr">
        <is>
          <t>Artículo: Cemento Portland x50kg | Depósito: Depósito A | stock_minimo: 20 | stock_maximo: 200</t>
        </is>
      </c>
      <c r="I29" s="13" t="inlineStr">
        <is>
          <t>1. Ingresar a la pantalla de configuración de stock por depósito.
2. Seleccionar el artículo y el depósito.
3. Completar stock mínimo y stock máximo válidos (mínimo ≤ máximo, ambos ≥ 0).
4. Guardar.</t>
        </is>
      </c>
      <c r="J29" s="13" t="inlineStr">
        <is>
          <t>Se crea la configuración vinculando ese artículo con ese depósito, con el mínimo y el máximo indicados.</t>
        </is>
      </c>
      <c r="K29" s="13" t="inlineStr">
        <is>
          <t>Pendiente de ejecución</t>
        </is>
      </c>
      <c r="L29" s="13" t="inlineStr">
        <is>
          <t>Pendiente</t>
        </is>
      </c>
      <c r="M29" s="13" t="inlineStr">
        <is>
          <t>N/A</t>
        </is>
      </c>
      <c r="N29" s="13" t="inlineStr">
        <is>
          <t>Pendiente</t>
        </is>
      </c>
      <c r="O29" s="13" t="inlineStr">
        <is>
          <t>TomasT04</t>
        </is>
      </c>
      <c r="P29" s="13" t="inlineStr">
        <is>
          <t>—</t>
        </is>
      </c>
      <c r="Q29" s="13" t="inlineStr">
        <is>
          <t>N/A</t>
        </is>
      </c>
      <c r="R29" s="13" t="inlineStr">
        <is>
          <t>—</t>
        </is>
      </c>
    </row>
    <row r="30" ht="90" customHeight="1">
      <c r="A30" s="13" t="inlineStr">
        <is>
          <t>TC-STK-06-02</t>
        </is>
      </c>
      <c r="B30" s="13" t="inlineStr">
        <is>
          <t>US-STK-06</t>
        </is>
      </c>
      <c r="C30" s="13" t="inlineStr">
        <is>
          <t>#11</t>
        </is>
      </c>
      <c r="D30" s="13" t="inlineStr">
        <is>
          <t>CA-01 — La cantidad de stock no es editable manualmente desde esta pantalla</t>
        </is>
      </c>
      <c r="E30" s="13" t="inlineStr">
        <is>
          <t>Validación</t>
        </is>
      </c>
      <c r="F30" s="13" t="inlineStr">
        <is>
          <t>Media</t>
        </is>
      </c>
      <c r="G30" s="13" t="inlineStr">
        <is>
          <t>Usuario en la pantalla de configuración de stock por depósito, sobre un artículo/depósito con stock cargado.</t>
        </is>
      </c>
      <c r="H30" s="13" t="inlineStr">
        <is>
          <t>Artículo/depósito con stock cargado</t>
        </is>
      </c>
      <c r="I30" s="13" t="inlineStr">
        <is>
          <t>1. Buscar en la pantalla un campo para editar directamente la cantidad de stock.</t>
        </is>
      </c>
      <c r="J30" s="13" t="inlineStr">
        <is>
          <t>La pantalla no ofrece un campo editable para la cantidad de stock; solo permite configurar el mínimo y el máximo.</t>
        </is>
      </c>
      <c r="K30" s="13" t="inlineStr">
        <is>
          <t>Pendiente de ejecución</t>
        </is>
      </c>
      <c r="L30" s="13" t="inlineStr">
        <is>
          <t>Pendiente</t>
        </is>
      </c>
      <c r="M30" s="13" t="inlineStr">
        <is>
          <t>N/A</t>
        </is>
      </c>
      <c r="N30" s="13" t="inlineStr">
        <is>
          <t>Pendiente</t>
        </is>
      </c>
      <c r="O30" s="13" t="inlineStr">
        <is>
          <t>TomasT04</t>
        </is>
      </c>
      <c r="P30" s="13" t="inlineStr">
        <is>
          <t>—</t>
        </is>
      </c>
      <c r="Q30" s="13" t="inlineStr">
        <is>
          <t>N/A</t>
        </is>
      </c>
      <c r="R30" s="13" t="inlineStr">
        <is>
          <t>—</t>
        </is>
      </c>
    </row>
    <row r="31" ht="90" customHeight="1">
      <c r="A31" s="13" t="inlineStr">
        <is>
          <t>TC-STK-06-03</t>
        </is>
      </c>
      <c r="B31" s="13" t="inlineStr">
        <is>
          <t>US-STK-06</t>
        </is>
      </c>
      <c r="C31" s="13" t="inlineStr">
        <is>
          <t>#11</t>
        </is>
      </c>
      <c r="D31" s="13" t="inlineStr">
        <is>
          <t>CA-03 — El sistema alerta cuando el stock cae por debajo del mínimo</t>
        </is>
      </c>
      <c r="E31" s="13" t="inlineStr">
        <is>
          <t>Integración</t>
        </is>
      </c>
      <c r="F31" s="13" t="inlineStr">
        <is>
          <t>Alta</t>
        </is>
      </c>
      <c r="G31" s="13" t="inlineStr">
        <is>
          <t>Existe una configuración de stock mínimo/máximo para un artículo/depósito.</t>
        </is>
      </c>
      <c r="H31" s="13" t="inlineStr">
        <is>
          <t>stock_minimo: 20 | movimiento que deja el disponible en 15</t>
        </is>
      </c>
      <c r="I31" s="13" t="inlineStr">
        <is>
          <t>1. Confirmar un movimiento de stock que haga caer el disponible de ese artículo/depósito por debajo del mínimo configurado.</t>
        </is>
      </c>
      <c r="J31" s="13" t="inlineStr">
        <is>
          <t>El sistema detecta que el stock quedó por debajo del mínimo configurado y genera la alerta correspondiente (ver además [[US-STK-15]]).</t>
        </is>
      </c>
      <c r="K31" s="13" t="inlineStr">
        <is>
          <t>Pendiente de ejecución</t>
        </is>
      </c>
      <c r="L31" s="13" t="inlineStr">
        <is>
          <t>Pendiente</t>
        </is>
      </c>
      <c r="M31" s="13" t="inlineStr">
        <is>
          <t>N/A</t>
        </is>
      </c>
      <c r="N31" s="13" t="inlineStr">
        <is>
          <t>Pendiente</t>
        </is>
      </c>
      <c r="O31" s="13" t="inlineStr">
        <is>
          <t>TomasT04</t>
        </is>
      </c>
      <c r="P31" s="13" t="inlineStr">
        <is>
          <t>—</t>
        </is>
      </c>
      <c r="Q31" s="13" t="inlineStr">
        <is>
          <t>N/A</t>
        </is>
      </c>
      <c r="R31" s="13" t="inlineStr">
        <is>
          <t>Relacionado con US-STK-15 (Alertas).</t>
        </is>
      </c>
    </row>
    <row r="32" ht="90" customHeight="1">
      <c r="A32" s="13" t="inlineStr">
        <is>
          <t>TC-STK-06-04</t>
        </is>
      </c>
      <c r="B32" s="13" t="inlineStr">
        <is>
          <t>US-STK-06</t>
        </is>
      </c>
      <c r="C32" s="13" t="inlineStr">
        <is>
          <t>#11</t>
        </is>
      </c>
      <c r="D32" s="13" t="inlineStr">
        <is>
          <t>CA-02 — Puede configurarse stock mínimo y máximo por artículo/depósito</t>
        </is>
      </c>
      <c r="E32" s="13" t="inlineStr">
        <is>
          <t>Validación</t>
        </is>
      </c>
      <c r="F32" s="13" t="inlineStr">
        <is>
          <t>Alta</t>
        </is>
      </c>
      <c r="G32" s="13" t="inlineStr">
        <is>
          <t>Usuario en la pantalla de configuración de stock por depósito.</t>
        </is>
      </c>
      <c r="H32" s="13" t="inlineStr">
        <is>
          <t>stock_minimo: 200 | stock_maximo: 20</t>
        </is>
      </c>
      <c r="I32" s="13" t="inlineStr">
        <is>
          <t>1. Completar stock_minimo con un valor mayor a stock_maximo.
2. Guardar.</t>
        </is>
      </c>
      <c r="J32" s="13" t="inlineStr">
        <is>
          <t>El sistema rechaza la operación (HTTP 400) e informa que el mínimo no puede ser mayor al máximo.</t>
        </is>
      </c>
      <c r="K32" s="13" t="inlineStr">
        <is>
          <t>Pendiente de ejecución</t>
        </is>
      </c>
      <c r="L32" s="13" t="inlineStr">
        <is>
          <t>Pendiente</t>
        </is>
      </c>
      <c r="M32" s="13" t="inlineStr">
        <is>
          <t>N/A</t>
        </is>
      </c>
      <c r="N32" s="13" t="inlineStr">
        <is>
          <t>Pendiente</t>
        </is>
      </c>
      <c r="O32" s="13" t="inlineStr">
        <is>
          <t>TomasT04</t>
        </is>
      </c>
      <c r="P32" s="13" t="inlineStr">
        <is>
          <t>—</t>
        </is>
      </c>
      <c r="Q32" s="13" t="inlineStr">
        <is>
          <t>N/A</t>
        </is>
      </c>
      <c r="R32" s="13" t="inlineStr">
        <is>
          <t>—</t>
        </is>
      </c>
    </row>
    <row r="33" ht="90" customHeight="1">
      <c r="A33" s="13" t="inlineStr">
        <is>
          <t>TC-STK-06-05</t>
        </is>
      </c>
      <c r="B33" s="13" t="inlineStr">
        <is>
          <t>US-STK-06</t>
        </is>
      </c>
      <c r="C33" s="13" t="inlineStr">
        <is>
          <t>#11</t>
        </is>
      </c>
      <c r="D33" s="13" t="inlineStr">
        <is>
          <t>CA-02 — Puede configurarse stock mínimo y máximo por artículo/depósito</t>
        </is>
      </c>
      <c r="E33" s="13" t="inlineStr">
        <is>
          <t>Validación</t>
        </is>
      </c>
      <c r="F33" s="13" t="inlineStr">
        <is>
          <t>Alta</t>
        </is>
      </c>
      <c r="G33" s="13" t="inlineStr">
        <is>
          <t>Usuario en la pantalla de configuración de stock por depósito.</t>
        </is>
      </c>
      <c r="H33" s="13" t="inlineStr">
        <is>
          <t>stock_minimo: -5</t>
        </is>
      </c>
      <c r="I33" s="13" t="inlineStr">
        <is>
          <t>1. Completar stock_minimo o stock_maximo con un valor negativo.
2. Guardar.</t>
        </is>
      </c>
      <c r="J33" s="13" t="inlineStr">
        <is>
          <t>El sistema rechaza la operación (HTTP 400) e informa que los valores no pueden ser negativos.</t>
        </is>
      </c>
      <c r="K33" s="13" t="inlineStr">
        <is>
          <t>Pendiente de ejecución</t>
        </is>
      </c>
      <c r="L33" s="13" t="inlineStr">
        <is>
          <t>Pendiente</t>
        </is>
      </c>
      <c r="M33" s="13" t="inlineStr">
        <is>
          <t>N/A</t>
        </is>
      </c>
      <c r="N33" s="13" t="inlineStr">
        <is>
          <t>Pendiente</t>
        </is>
      </c>
      <c r="O33" s="13" t="inlineStr">
        <is>
          <t>TomasT04</t>
        </is>
      </c>
      <c r="P33" s="13" t="inlineStr">
        <is>
          <t>—</t>
        </is>
      </c>
      <c r="Q33" s="13" t="inlineStr">
        <is>
          <t>N/A</t>
        </is>
      </c>
      <c r="R33" s="13" t="inlineStr">
        <is>
          <t>—</t>
        </is>
      </c>
    </row>
    <row r="34" ht="90" customHeight="1">
      <c r="A34" s="13" t="inlineStr">
        <is>
          <t>TC-STK-06-06</t>
        </is>
      </c>
      <c r="B34" s="13" t="inlineStr">
        <is>
          <t>US-STK-06</t>
        </is>
      </c>
      <c r="C34" s="13" t="inlineStr">
        <is>
          <t>#11</t>
        </is>
      </c>
      <c r="D34" s="13" t="inlineStr">
        <is>
          <t>CA-04 — Cada registro vincula un artículo con un depósito</t>
        </is>
      </c>
      <c r="E34" s="13" t="inlineStr">
        <is>
          <t>Caso de error</t>
        </is>
      </c>
      <c r="F34" s="13" t="inlineStr">
        <is>
          <t>Alta</t>
        </is>
      </c>
      <c r="G34" s="13" t="inlineStr">
        <is>
          <t>Usuario en la pantalla de configuración de stock por depósito.</t>
        </is>
      </c>
      <c r="H34" s="13" t="inlineStr">
        <is>
          <t>articulo_id o deposito_id: id inexistente</t>
        </is>
      </c>
      <c r="I34" s="13" t="inlineStr">
        <is>
          <t>1. Completar el formulario referenciando un articulo_id o deposito_id que no existe.
2. Guardar.</t>
        </is>
      </c>
      <c r="J34" s="13" t="inlineStr">
        <is>
          <t>El sistema rechaza la operación (HTTP 404) e informa que el artículo o el depósito no existe.</t>
        </is>
      </c>
      <c r="K34" s="13" t="inlineStr">
        <is>
          <t>Pendiente de ejecución</t>
        </is>
      </c>
      <c r="L34" s="13" t="inlineStr">
        <is>
          <t>Pendiente</t>
        </is>
      </c>
      <c r="M34" s="13" t="inlineStr">
        <is>
          <t>N/A</t>
        </is>
      </c>
      <c r="N34" s="13" t="inlineStr">
        <is>
          <t>Pendiente</t>
        </is>
      </c>
      <c r="O34" s="13" t="inlineStr">
        <is>
          <t>TomasT04</t>
        </is>
      </c>
      <c r="P34" s="13" t="inlineStr">
        <is>
          <t>—</t>
        </is>
      </c>
      <c r="Q34" s="13" t="inlineStr">
        <is>
          <t>N/A</t>
        </is>
      </c>
      <c r="R34" s="13" t="inlineStr">
        <is>
          <t>—</t>
        </is>
      </c>
    </row>
    <row r="35" ht="90" customHeight="1">
      <c r="A35" s="13" t="inlineStr">
        <is>
          <t>TC-STK-06-07</t>
        </is>
      </c>
      <c r="B35" s="13" t="inlineStr">
        <is>
          <t>US-STK-06</t>
        </is>
      </c>
      <c r="C35" s="13" t="inlineStr">
        <is>
          <t>#11</t>
        </is>
      </c>
      <c r="D35" s="13" t="inlineStr">
        <is>
          <t>CA-02 — Puede configurarse stock mínimo y máximo por artículo/depósito; CA-04 — Cada registro vincula un artículo con un depósito</t>
        </is>
      </c>
      <c r="E35" s="13" t="inlineStr">
        <is>
          <t>Caso de error</t>
        </is>
      </c>
      <c r="F35" s="13" t="inlineStr">
        <is>
          <t>Media</t>
        </is>
      </c>
      <c r="G35" s="13" t="inlineStr">
        <is>
          <t>Ya existe una configuración de stock para un par artículo/depósito determinado.</t>
        </is>
      </c>
      <c r="H35" s="13" t="inlineStr">
        <is>
          <t>Artículo/depósito con configuración ya existente</t>
        </is>
      </c>
      <c r="I35" s="13" t="inlineStr">
        <is>
          <t>1. Intentar crear (POST) una nueva configuración para ese mismo par artículo/depósito.
2. Guardar.</t>
        </is>
      </c>
      <c r="J35" s="13" t="inlineStr">
        <is>
          <t>El sistema rechaza la operación (HTTP 409) e indica que ya existe una configuración para ese par, y que debe usarse PUT para modificarla.</t>
        </is>
      </c>
      <c r="K35" s="13" t="inlineStr">
        <is>
          <t>Pendiente de ejecución</t>
        </is>
      </c>
      <c r="L35" s="13" t="inlineStr">
        <is>
          <t>Pendiente</t>
        </is>
      </c>
      <c r="M35" s="13" t="inlineStr">
        <is>
          <t>N/A</t>
        </is>
      </c>
      <c r="N35" s="13" t="inlineStr">
        <is>
          <t>Pendiente</t>
        </is>
      </c>
      <c r="O35" s="13" t="inlineStr">
        <is>
          <t>TomasT04</t>
        </is>
      </c>
      <c r="P35" s="13" t="inlineStr">
        <is>
          <t>—</t>
        </is>
      </c>
      <c r="Q35" s="13" t="inlineStr">
        <is>
          <t>N/A</t>
        </is>
      </c>
      <c r="R35" s="13" t="inlineStr">
        <is>
          <t>—</t>
        </is>
      </c>
    </row>
    <row r="36" ht="90" customHeight="1">
      <c r="A36" s="13" t="inlineStr">
        <is>
          <t>TC-STK-07-01</t>
        </is>
      </c>
      <c r="B36" s="13" t="inlineStr">
        <is>
          <t>US-STK-07</t>
        </is>
      </c>
      <c r="C36" s="13" t="inlineStr">
        <is>
          <t>#12</t>
        </is>
      </c>
      <c r="D36" s="13" t="inlineStr">
        <is>
          <t>CA-01 — Disponible = físico − comprometido (estrictamente)</t>
        </is>
      </c>
      <c r="E36" s="13" t="inlineStr">
        <is>
          <t>Camino feliz</t>
        </is>
      </c>
      <c r="F36" s="13" t="inlineStr">
        <is>
          <t>Crítica</t>
        </is>
      </c>
      <c r="G36" s="13" t="inlineStr">
        <is>
          <t>Existe un artículo con stock físico y stock comprometido cargados en un depósito.</t>
        </is>
      </c>
      <c r="H36" s="13" t="inlineStr">
        <is>
          <t>Artículo: Cemento Portland x50kg | Depósito: Depósito A | físico: 120 | comprometido: 15 (disponible esperado: 105)</t>
        </is>
      </c>
      <c r="I36" s="13" t="inlineStr">
        <is>
          <t>1. Consultar el stock de ese artículo en ese depósito.</t>
        </is>
      </c>
      <c r="J36" s="13" t="inlineStr">
        <is>
          <t>El disponible mostrado es exactamente físico − comprometido.</t>
        </is>
      </c>
      <c r="K36" s="13" t="inlineStr">
        <is>
          <t>Pendiente de ejecución</t>
        </is>
      </c>
      <c r="L36" s="13" t="inlineStr">
        <is>
          <t>Pendiente</t>
        </is>
      </c>
      <c r="M36" s="13" t="inlineStr">
        <is>
          <t>N/A</t>
        </is>
      </c>
      <c r="N36" s="13" t="inlineStr">
        <is>
          <t>Pendiente</t>
        </is>
      </c>
      <c r="O36" s="13" t="inlineStr">
        <is>
          <t>sanz05</t>
        </is>
      </c>
      <c r="P36" s="13" t="inlineStr">
        <is>
          <t>—</t>
        </is>
      </c>
      <c r="Q36" s="13" t="inlineStr">
        <is>
          <t>N/A</t>
        </is>
      </c>
      <c r="R36" s="13" t="inlineStr">
        <is>
          <t>—</t>
        </is>
      </c>
    </row>
    <row r="37" ht="90" customHeight="1">
      <c r="A37" s="13" t="inlineStr">
        <is>
          <t>TC-STK-07-02</t>
        </is>
      </c>
      <c r="B37" s="13" t="inlineStr">
        <is>
          <t>US-STK-07</t>
        </is>
      </c>
      <c r="C37" s="13" t="inlineStr">
        <is>
          <t>#12</t>
        </is>
      </c>
      <c r="D37" s="13" t="inlineStr">
        <is>
          <t>CA-02 — Consultable por artículo y por depósito, con búsqueda y filtros</t>
        </is>
      </c>
      <c r="E37" s="13" t="inlineStr">
        <is>
          <t>Camino feliz</t>
        </is>
      </c>
      <c r="F37" s="13" t="inlineStr">
        <is>
          <t>Alta</t>
        </is>
      </c>
      <c r="G37" s="13" t="inlineStr">
        <is>
          <t>Existen varios artículos con stock cargado en distintos depósitos.</t>
        </is>
      </c>
      <c r="H37" s="13" t="inlineStr">
        <is>
          <t>Filtro articulo_id / deposito_id / search="cemento"</t>
        </is>
      </c>
      <c r="I37" s="13" t="inlineStr">
        <is>
          <t>1. Consultar el listado de stock filtrando por un artículo puntual.
2. Consultar el listado de stock filtrando por un depósito puntual.
3. Consultar el listado usando el buscador con un término presente en el nombre del artículo.</t>
        </is>
      </c>
      <c r="J37" s="13" t="inlineStr">
        <is>
          <t>En cada caso, el listado devuelve únicamente los resultados que coinciden con el filtro o la búsqueda aplicados.</t>
        </is>
      </c>
      <c r="K37" s="13" t="inlineStr">
        <is>
          <t>Pendiente de ejecución</t>
        </is>
      </c>
      <c r="L37" s="13" t="inlineStr">
        <is>
          <t>Pendiente</t>
        </is>
      </c>
      <c r="M37" s="13" t="inlineStr">
        <is>
          <t>N/A</t>
        </is>
      </c>
      <c r="N37" s="13" t="inlineStr">
        <is>
          <t>Pendiente</t>
        </is>
      </c>
      <c r="O37" s="13" t="inlineStr">
        <is>
          <t>sanz05</t>
        </is>
      </c>
      <c r="P37" s="13" t="inlineStr">
        <is>
          <t>—</t>
        </is>
      </c>
      <c r="Q37" s="13" t="inlineStr">
        <is>
          <t>N/A</t>
        </is>
      </c>
      <c r="R37" s="13" t="inlineStr">
        <is>
          <t>—</t>
        </is>
      </c>
    </row>
    <row r="38" ht="90" customHeight="1">
      <c r="A38" s="13" t="inlineStr">
        <is>
          <t>TC-STK-07-03</t>
        </is>
      </c>
      <c r="B38" s="13" t="inlineStr">
        <is>
          <t>US-STK-07</t>
        </is>
      </c>
      <c r="C38" s="13" t="inlineStr">
        <is>
          <t>#12</t>
        </is>
      </c>
      <c r="D38" s="13" t="inlineStr">
        <is>
          <t>CA-04 — Tiempo de respuesta &lt; 500 ms en condiciones normales</t>
        </is>
      </c>
      <c r="E38" s="13" t="inlineStr">
        <is>
          <t>Validación</t>
        </is>
      </c>
      <c r="F38" s="13" t="inlineStr">
        <is>
          <t>Media</t>
        </is>
      </c>
      <c r="G38" s="13" t="inlineStr">
        <is>
          <t>Entorno con el volumen estimado de uso (~500 transacciones/día) y caché de lectura habilitada.</t>
        </is>
      </c>
      <c r="H38" s="13" t="inlineStr">
        <is>
          <t>~500 transacciones/día (volumen estimado del issue)</t>
        </is>
      </c>
      <c r="I38" s="13" t="inlineStr">
        <is>
          <t>1. Realizar una consulta de stock en condiciones normales de uso.
2. Medir el tiempo de respuesta.</t>
        </is>
      </c>
      <c r="J38" s="13" t="inlineStr">
        <is>
          <t>El tiempo de respuesta es menor a 500 ms.</t>
        </is>
      </c>
      <c r="K38" s="13" t="inlineStr">
        <is>
          <t>Pendiente de ejecución</t>
        </is>
      </c>
      <c r="L38" s="13" t="inlineStr">
        <is>
          <t>Pendiente</t>
        </is>
      </c>
      <c r="M38" s="13" t="inlineStr">
        <is>
          <t>N/A</t>
        </is>
      </c>
      <c r="N38" s="13" t="inlineStr">
        <is>
          <t>Pendiente</t>
        </is>
      </c>
      <c r="O38" s="13" t="inlineStr">
        <is>
          <t>sanz05</t>
        </is>
      </c>
      <c r="P38" s="13" t="inlineStr">
        <is>
          <t>—</t>
        </is>
      </c>
      <c r="Q38" s="13" t="inlineStr">
        <is>
          <t>N/A</t>
        </is>
      </c>
      <c r="R38" s="13" t="inlineStr">
        <is>
          <t>—</t>
        </is>
      </c>
    </row>
    <row r="39" ht="90" customHeight="1">
      <c r="A39" s="13" t="inlineStr">
        <is>
          <t>TC-STK-07-04</t>
        </is>
      </c>
      <c r="B39" s="13" t="inlineStr">
        <is>
          <t>US-STK-07</t>
        </is>
      </c>
      <c r="C39" s="13" t="inlineStr">
        <is>
          <t>#12</t>
        </is>
      </c>
      <c r="D39" s="13" t="inlineStr">
        <is>
          <t>CA-05 — La información se actualiza tras cada movimiento confirmado</t>
        </is>
      </c>
      <c r="E39" s="13" t="inlineStr">
        <is>
          <t>Camino feliz</t>
        </is>
      </c>
      <c r="F39" s="13" t="inlineStr">
        <is>
          <t>Crítica</t>
        </is>
      </c>
      <c r="G39" s="13" t="inlineStr">
        <is>
          <t>Existe un artículo con un valor de stock disponible conocido en un depósito.</t>
        </is>
      </c>
      <c r="H39" s="13" t="inlineStr">
        <is>
          <t>Movimiento confirmado sobre artículo/depósito con stock conocido</t>
        </is>
      </c>
      <c r="I39" s="13" t="inlineStr">
        <is>
          <t>1. Confirmar un movimiento de stock sobre ese artículo/depósito.
2. Volver a consultar el stock del mismo artículo/depósito inmediatamente después.</t>
        </is>
      </c>
      <c r="J39" s="13" t="inlineStr">
        <is>
          <t>La consulta refleja el nuevo valor de stock actualizado, sin necesidad de esperar ni de una acción adicional.</t>
        </is>
      </c>
      <c r="K39" s="13" t="inlineStr">
        <is>
          <t>Pendiente de ejecución</t>
        </is>
      </c>
      <c r="L39" s="13" t="inlineStr">
        <is>
          <t>Pendiente</t>
        </is>
      </c>
      <c r="M39" s="13" t="inlineStr">
        <is>
          <t>N/A</t>
        </is>
      </c>
      <c r="N39" s="13" t="inlineStr">
        <is>
          <t>Pendiente</t>
        </is>
      </c>
      <c r="O39" s="13" t="inlineStr">
        <is>
          <t>sanz05</t>
        </is>
      </c>
      <c r="P39" s="13" t="inlineStr">
        <is>
          <t>—</t>
        </is>
      </c>
      <c r="Q39" s="13" t="inlineStr">
        <is>
          <t>N/A</t>
        </is>
      </c>
      <c r="R39" s="13" t="inlineStr">
        <is>
          <t>—</t>
        </is>
      </c>
    </row>
    <row r="40" ht="90" customHeight="1">
      <c r="A40" s="13" t="inlineStr">
        <is>
          <t>TC-STK-07-05</t>
        </is>
      </c>
      <c r="B40" s="13" t="inlineStr">
        <is>
          <t>US-STK-07</t>
        </is>
      </c>
      <c r="C40" s="13" t="inlineStr">
        <is>
          <t>#12</t>
        </is>
      </c>
      <c r="D40" s="13" t="inlineStr">
        <is>
          <t>CA-03 — Accesible desde Ventas, Compras, E-commerce y Chatbot</t>
        </is>
      </c>
      <c r="E40" s="13" t="inlineStr">
        <is>
          <t>Integración</t>
        </is>
      </c>
      <c r="F40" s="13" t="inlineStr">
        <is>
          <t>Baja</t>
        </is>
      </c>
      <c r="G40" s="13" t="inlineStr">
        <is>
          <t>Requiere que los módulos Ventas, Compras, E-commerce y Chatbot existan e integren la consulta de stock. [Ambigüedad/bloqueo: estos módulos no forman parte del alcance implementado en el Sprint 1 relevado — ver observaciones.]</t>
        </is>
      </c>
      <c r="H40" s="13" t="inlineStr">
        <is>
          <t>N/A</t>
        </is>
      </c>
      <c r="I40" s="13" t="inlineStr">
        <is>
          <t>1. Desde cada uno de esos módulos, consultar la disponibilidad de un artículo.</t>
        </is>
      </c>
      <c r="J40" s="13" t="inlineStr">
        <is>
          <t>La consulta de stock es accesible y devuelve el mismo dato de disponibilidad desde los cuatro módulos.</t>
        </is>
      </c>
      <c r="K40" s="13" t="inlineStr">
        <is>
          <t>Pendiente de ejecución</t>
        </is>
      </c>
      <c r="L40" s="13" t="inlineStr">
        <is>
          <t>Pendiente</t>
        </is>
      </c>
      <c r="M40" s="13" t="inlineStr">
        <is>
          <t>N/A</t>
        </is>
      </c>
      <c r="N40" s="13" t="inlineStr">
        <is>
          <t>Pendiente</t>
        </is>
      </c>
      <c r="O40" s="13" t="inlineStr">
        <is>
          <t>sanz05</t>
        </is>
      </c>
      <c r="P40" s="13" t="inlineStr">
        <is>
          <t>—</t>
        </is>
      </c>
      <c r="Q40" s="13" t="inlineStr">
        <is>
          <t>N/A</t>
        </is>
      </c>
      <c r="R40" s="13" t="inlineStr">
        <is>
          <t>Bloqueado: Ventas, Compras, E-commerce y Chatbot no están implementados en el alcance relevado de este sprint.</t>
        </is>
      </c>
    </row>
    <row r="41" ht="90" customHeight="1">
      <c r="A41" s="13" t="inlineStr">
        <is>
          <t>TC-STK-07-06</t>
        </is>
      </c>
      <c r="B41" s="13" t="inlineStr">
        <is>
          <t>US-STK-07</t>
        </is>
      </c>
      <c r="C41" s="13" t="inlineStr">
        <is>
          <t>#12</t>
        </is>
      </c>
      <c r="D41" s="13" t="inlineStr">
        <is>
          <t>CA-02 — Consultable por artículo y por depósito, con búsqueda y filtros</t>
        </is>
      </c>
      <c r="E41" s="13" t="inlineStr">
        <is>
          <t>Validación</t>
        </is>
      </c>
      <c r="F41" s="13" t="inlineStr">
        <is>
          <t>Media</t>
        </is>
      </c>
      <c r="G41" s="13" t="inlineStr">
        <is>
          <t>Usuario con acceso a la consulta de stock.</t>
        </is>
      </c>
      <c r="H41" s="13" t="inlineStr">
        <is>
          <t>articulo_id: "no-es-un-uuid"</t>
        </is>
      </c>
      <c r="I41" s="13" t="inlineStr">
        <is>
          <t>1. Consultar stock enviando un articulo_id o deposito_id con formato inválido (no UUID).</t>
        </is>
      </c>
      <c r="J41" s="13" t="inlineStr">
        <is>
          <t>El sistema rechaza la operación (HTTP 400) e informa que el formato del parámetro es inválido.</t>
        </is>
      </c>
      <c r="K41" s="13" t="inlineStr">
        <is>
          <t>Pendiente de ejecución</t>
        </is>
      </c>
      <c r="L41" s="13" t="inlineStr">
        <is>
          <t>Pendiente</t>
        </is>
      </c>
      <c r="M41" s="13" t="inlineStr">
        <is>
          <t>N/A</t>
        </is>
      </c>
      <c r="N41" s="13" t="inlineStr">
        <is>
          <t>Pendiente</t>
        </is>
      </c>
      <c r="O41" s="13" t="inlineStr">
        <is>
          <t>sanz05</t>
        </is>
      </c>
      <c r="P41" s="13" t="inlineStr">
        <is>
          <t>—</t>
        </is>
      </c>
      <c r="Q41" s="13" t="inlineStr">
        <is>
          <t>N/A</t>
        </is>
      </c>
      <c r="R41" s="13" t="inlineStr">
        <is>
          <t>—</t>
        </is>
      </c>
    </row>
    <row r="42" ht="90" customHeight="1">
      <c r="A42" s="13" t="inlineStr">
        <is>
          <t>TC-STK-07-07</t>
        </is>
      </c>
      <c r="B42" s="13" t="inlineStr">
        <is>
          <t>US-STK-07</t>
        </is>
      </c>
      <c r="C42" s="13" t="inlineStr">
        <is>
          <t>#12</t>
        </is>
      </c>
      <c r="D42" s="13" t="inlineStr">
        <is>
          <t>CA-02 — Consultable por artículo y por depósito, con búsqueda y filtros</t>
        </is>
      </c>
      <c r="E42" s="13" t="inlineStr">
        <is>
          <t>Validación</t>
        </is>
      </c>
      <c r="F42" s="13" t="inlineStr">
        <is>
          <t>Baja</t>
        </is>
      </c>
      <c r="G42" s="13" t="inlineStr">
        <is>
          <t>Usuario con acceso a la consulta de stock.</t>
        </is>
      </c>
      <c r="H42" s="13" t="inlineStr">
        <is>
          <t>Filtro sin coincidencias (articulo_id inexistente)</t>
        </is>
      </c>
      <c r="I42" s="13" t="inlineStr">
        <is>
          <t>1. Consultar stock con filtros que no coincidan con ningún artículo/depósito existente.</t>
        </is>
      </c>
      <c r="J42" s="13" t="inlineStr">
        <is>
          <t>El sistema responde HTTP 200 con items: [] (lista vacía) (lista vacía); nunca responde 404 ante una búsqueda sin resultados.</t>
        </is>
      </c>
      <c r="K42" s="13" t="inlineStr">
        <is>
          <t>Pendiente de ejecución</t>
        </is>
      </c>
      <c r="L42" s="13" t="inlineStr">
        <is>
          <t>Pendiente</t>
        </is>
      </c>
      <c r="M42" s="13" t="inlineStr">
        <is>
          <t>N/A</t>
        </is>
      </c>
      <c r="N42" s="13" t="inlineStr">
        <is>
          <t>Pendiente</t>
        </is>
      </c>
      <c r="O42" s="13" t="inlineStr">
        <is>
          <t>sanz05</t>
        </is>
      </c>
      <c r="P42" s="13" t="inlineStr">
        <is>
          <t>—</t>
        </is>
      </c>
      <c r="Q42" s="13" t="inlineStr">
        <is>
          <t>N/A</t>
        </is>
      </c>
      <c r="R42" s="13" t="inlineStr">
        <is>
          <t>—</t>
        </is>
      </c>
    </row>
    <row r="43" ht="90" customHeight="1">
      <c r="A43" s="13" t="inlineStr">
        <is>
          <t>TC-STK-08-01</t>
        </is>
      </c>
      <c r="B43" s="13" t="inlineStr">
        <is>
          <t>US-STK-08</t>
        </is>
      </c>
      <c r="C43" s="13" t="inlineStr">
        <is>
          <t>#13</t>
        </is>
      </c>
      <c r="D43" s="13" t="inlineStr">
        <is>
          <t>CA-01 — Se registran fecha, hora y usuario; CA-02 — Se registra el tipo de movimiento y el comprobante de origen; CA-03 — Se registra depósito origen y/o destino según el tipo; CA-04 — El movimiento queda en estado Pendiente hasta su confirmación</t>
        </is>
      </c>
      <c r="E43" s="13" t="inlineStr">
        <is>
          <t>Camino feliz</t>
        </is>
      </c>
      <c r="F43" s="13" t="inlineStr">
        <is>
          <t>Crítica</t>
        </is>
      </c>
      <c r="G43" s="13" t="inlineStr">
        <is>
          <t>Usuario autenticado; existe un artículo con disponible suficiente en el depósito origen y existe el depósito destino.</t>
        </is>
      </c>
      <c r="H43" s="13" t="inlineStr">
        <is>
          <t>tipo: transferencia | articulo_id: Cemento Portland x50kg | cantidad: 10 | deposito_origen_id: Depósito A | deposito_destino_id: Depósito B | comprobante: REM-0001234</t>
        </is>
      </c>
      <c r="I43" s="13" t="inlineStr">
        <is>
          <t>1. Ingresar a la pantalla de registro de movimientos.
2. Seleccionar tipo "transferencia", artículo, cantidad, depósito origen, depósito destino y número de comprobante.
3. Guardar.</t>
        </is>
      </c>
      <c r="J43" s="13" t="inlineStr">
        <is>
          <t>El movimiento se registra con fecha, hora y usuario, tipo de movimiento, comprobante, depósito origen y destino, y queda en estado Pendiente.</t>
        </is>
      </c>
      <c r="K43" s="13" t="inlineStr">
        <is>
          <t>Pendiente de ejecución</t>
        </is>
      </c>
      <c r="L43" s="13" t="inlineStr">
        <is>
          <t>Pendiente</t>
        </is>
      </c>
      <c r="M43" s="13" t="inlineStr">
        <is>
          <t>N/A</t>
        </is>
      </c>
      <c r="N43" s="13" t="inlineStr">
        <is>
          <t>Pendiente</t>
        </is>
      </c>
      <c r="O43" s="13" t="inlineStr">
        <is>
          <t>mateoquartin</t>
        </is>
      </c>
      <c r="P43" s="13" t="inlineStr">
        <is>
          <t>—</t>
        </is>
      </c>
      <c r="Q43" s="13" t="inlineStr">
        <is>
          <t>N/A</t>
        </is>
      </c>
      <c r="R43" s="13" t="inlineStr">
        <is>
          <t>—</t>
        </is>
      </c>
    </row>
    <row r="44" ht="90" customHeight="1">
      <c r="A44" s="13" t="inlineStr">
        <is>
          <t>TC-STK-08-02</t>
        </is>
      </c>
      <c r="B44" s="13" t="inlineStr">
        <is>
          <t>US-STK-08</t>
        </is>
      </c>
      <c r="C44" s="13" t="inlineStr">
        <is>
          <t>#13</t>
        </is>
      </c>
      <c r="D44" s="13" t="inlineStr">
        <is>
          <t>CA-04 — El movimiento queda en estado Pendiente hasta su confirmación; CA-05 — Se bloquea toda transferencia que supere el disponible del origen</t>
        </is>
      </c>
      <c r="E44" s="13" t="inlineStr">
        <is>
          <t>Camino feliz</t>
        </is>
      </c>
      <c r="F44" s="13" t="inlineStr">
        <is>
          <t>Crítica</t>
        </is>
      </c>
      <c r="G44" s="13" t="inlineStr">
        <is>
          <t>Existe un movimiento en estado Pendiente cuya cantidad no supera el disponible del depósito origen.</t>
        </is>
      </c>
      <c r="H44" s="13" t="inlineStr">
        <is>
          <t>Movimiento Pendiente con cantidad 10 y disponible en origen 105</t>
        </is>
      </c>
      <c r="I44" s="13" t="inlineStr">
        <is>
          <t>1. Confirmar el movimiento (POST /movimientos/{id}/confirmar).</t>
        </is>
      </c>
      <c r="J44" s="13" t="inlineStr">
        <is>
          <t>El movimiento pasa a estado Confirmado y se aplica el impacto correspondiente sobre el stock del depósito origen y destino.</t>
        </is>
      </c>
      <c r="K44" s="13" t="inlineStr">
        <is>
          <t>Pendiente de ejecución</t>
        </is>
      </c>
      <c r="L44" s="13" t="inlineStr">
        <is>
          <t>Pendiente</t>
        </is>
      </c>
      <c r="M44" s="13" t="inlineStr">
        <is>
          <t>N/A</t>
        </is>
      </c>
      <c r="N44" s="13" t="inlineStr">
        <is>
          <t>Pendiente</t>
        </is>
      </c>
      <c r="O44" s="13" t="inlineStr">
        <is>
          <t>mateoquartin</t>
        </is>
      </c>
      <c r="P44" s="13" t="inlineStr">
        <is>
          <t>—</t>
        </is>
      </c>
      <c r="Q44" s="13" t="inlineStr">
        <is>
          <t>N/A</t>
        </is>
      </c>
      <c r="R44" s="13" t="inlineStr">
        <is>
          <t>—</t>
        </is>
      </c>
    </row>
    <row r="45" ht="90" customHeight="1">
      <c r="A45" s="13" t="inlineStr">
        <is>
          <t>TC-STK-08-03</t>
        </is>
      </c>
      <c r="B45" s="13" t="inlineStr">
        <is>
          <t>US-STK-08</t>
        </is>
      </c>
      <c r="C45" s="13" t="inlineStr">
        <is>
          <t>#13</t>
        </is>
      </c>
      <c r="D45" s="13" t="inlineStr">
        <is>
          <t>CA-03 — Se registra depósito origen y/o destino según el tipo</t>
        </is>
      </c>
      <c r="E45" s="13" t="inlineStr">
        <is>
          <t>Validación</t>
        </is>
      </c>
      <c r="F45" s="13" t="inlineStr">
        <is>
          <t>Alta</t>
        </is>
      </c>
      <c r="G45" s="13" t="inlineStr">
        <is>
          <t>Usuario en la pantalla de registro de movimientos, tipo "transferencia" seleccionado.</t>
        </is>
      </c>
      <c r="H45" s="13" t="inlineStr">
        <is>
          <t>tipo: transferencia | deposito_origen_id: (vacío) | deposito_destino_id: (vacío)</t>
        </is>
      </c>
      <c r="I45" s="13" t="inlineStr">
        <is>
          <t>1. Dejar sin completar el depósito origen o el depósito destino.
2. Guardar.</t>
        </is>
      </c>
      <c r="J45" s="13" t="inlineStr">
        <is>
          <t>El sistema rechaza la operación (HTTP 400) e informa que faltan los depósitos requeridos para una transferencia.</t>
        </is>
      </c>
      <c r="K45" s="13" t="inlineStr">
        <is>
          <t>Pendiente de ejecución</t>
        </is>
      </c>
      <c r="L45" s="13" t="inlineStr">
        <is>
          <t>Pendiente</t>
        </is>
      </c>
      <c r="M45" s="13" t="inlineStr">
        <is>
          <t>N/A</t>
        </is>
      </c>
      <c r="N45" s="13" t="inlineStr">
        <is>
          <t>Pendiente</t>
        </is>
      </c>
      <c r="O45" s="13" t="inlineStr">
        <is>
          <t>mateoquartin</t>
        </is>
      </c>
      <c r="P45" s="13" t="inlineStr">
        <is>
          <t>—</t>
        </is>
      </c>
      <c r="Q45" s="13" t="inlineStr">
        <is>
          <t>N/A</t>
        </is>
      </c>
      <c r="R45" s="13" t="inlineStr">
        <is>
          <t>—</t>
        </is>
      </c>
    </row>
    <row r="46" ht="90" customHeight="1">
      <c r="A46" s="13" t="inlineStr">
        <is>
          <t>TC-STK-08-04</t>
        </is>
      </c>
      <c r="B46" s="13" t="inlineStr">
        <is>
          <t>US-STK-08</t>
        </is>
      </c>
      <c r="C46" s="13" t="inlineStr">
        <is>
          <t>#13</t>
        </is>
      </c>
      <c r="D46" s="13" t="inlineStr">
        <is>
          <t>Sin CA numerado — deriva de "Casos de error" del issue, no de un criterio de aceptación explícito</t>
        </is>
      </c>
      <c r="E46" s="13" t="inlineStr">
        <is>
          <t>Validación</t>
        </is>
      </c>
      <c r="F46" s="13" t="inlineStr">
        <is>
          <t>Alta</t>
        </is>
      </c>
      <c r="G46" s="13" t="inlineStr">
        <is>
          <t>Usuario en la pantalla de registro de movimientos.</t>
        </is>
      </c>
      <c r="H46" s="13" t="inlineStr">
        <is>
          <t>cantidad: 0</t>
        </is>
      </c>
      <c r="I46" s="13" t="inlineStr">
        <is>
          <t>1. Completar el formulario con una cantidad igual o menor a 0.
2. Guardar.</t>
        </is>
      </c>
      <c r="J46" s="13" t="inlineStr">
        <is>
          <t>El sistema rechaza la operación (HTTP 400) e informa que la cantidad debe ser mayor a 0.</t>
        </is>
      </c>
      <c r="K46" s="13" t="inlineStr">
        <is>
          <t>Pendiente de ejecución</t>
        </is>
      </c>
      <c r="L46" s="13" t="inlineStr">
        <is>
          <t>Pendiente</t>
        </is>
      </c>
      <c r="M46" s="13" t="inlineStr">
        <is>
          <t>N/A</t>
        </is>
      </c>
      <c r="N46" s="13" t="inlineStr">
        <is>
          <t>Pendiente</t>
        </is>
      </c>
      <c r="O46" s="13" t="inlineStr">
        <is>
          <t>mateoquartin</t>
        </is>
      </c>
      <c r="P46" s="13" t="inlineStr">
        <is>
          <t>—</t>
        </is>
      </c>
      <c r="Q46" s="13" t="inlineStr">
        <is>
          <t>N/A</t>
        </is>
      </c>
      <c r="R46" s="13" t="inlineStr">
        <is>
          <t>—</t>
        </is>
      </c>
    </row>
    <row r="47" ht="90" customHeight="1">
      <c r="A47" s="13" t="inlineStr">
        <is>
          <t>TC-STK-08-05</t>
        </is>
      </c>
      <c r="B47" s="13" t="inlineStr">
        <is>
          <t>US-STK-08</t>
        </is>
      </c>
      <c r="C47" s="13" t="inlineStr">
        <is>
          <t>#13</t>
        </is>
      </c>
      <c r="D47" s="13" t="inlineStr">
        <is>
          <t>CA-05 — Se bloquea toda transferencia que supere el disponible del origen</t>
        </is>
      </c>
      <c r="E47" s="13" t="inlineStr">
        <is>
          <t>Caso de error</t>
        </is>
      </c>
      <c r="F47" s="13" t="inlineStr">
        <is>
          <t>Crítica</t>
        </is>
      </c>
      <c r="G47" s="13" t="inlineStr">
        <is>
          <t>Existe un artículo cuyo disponible en el depósito origen es menor a la cantidad que se va a transferir.</t>
        </is>
      </c>
      <c r="H47" s="13" t="inlineStr">
        <is>
          <t>cantidad: 500 | disponible en depósito origen: 105</t>
        </is>
      </c>
      <c r="I47" s="13" t="inlineStr">
        <is>
          <t>1. Registrar una transferencia por una cantidad mayor al disponible del depósito origen.
2. Guardar.</t>
        </is>
      </c>
      <c r="J47" s="13" t="inlineStr">
        <is>
          <t>El sistema rechaza la operación (HTTP 409) y bloquea la transferencia por superar el disponible del origen.</t>
        </is>
      </c>
      <c r="K47" s="13" t="inlineStr">
        <is>
          <t>Pendiente de ejecución</t>
        </is>
      </c>
      <c r="L47" s="13" t="inlineStr">
        <is>
          <t>Pendiente</t>
        </is>
      </c>
      <c r="M47" s="13" t="inlineStr">
        <is>
          <t>N/A</t>
        </is>
      </c>
      <c r="N47" s="13" t="inlineStr">
        <is>
          <t>Pendiente</t>
        </is>
      </c>
      <c r="O47" s="13" t="inlineStr">
        <is>
          <t>mateoquartin</t>
        </is>
      </c>
      <c r="P47" s="13" t="inlineStr">
        <is>
          <t>—</t>
        </is>
      </c>
      <c r="Q47" s="13" t="inlineStr">
        <is>
          <t>N/A</t>
        </is>
      </c>
      <c r="R47" s="13" t="inlineStr">
        <is>
          <t>—</t>
        </is>
      </c>
    </row>
    <row r="48" ht="90" customHeight="1">
      <c r="A48" s="13" t="inlineStr">
        <is>
          <t>TC-STK-08-06</t>
        </is>
      </c>
      <c r="B48" s="13" t="inlineStr">
        <is>
          <t>US-STK-08</t>
        </is>
      </c>
      <c r="C48" s="13" t="inlineStr">
        <is>
          <t>#13</t>
        </is>
      </c>
      <c r="D48" s="13" t="inlineStr">
        <is>
          <t>CA-04 — El movimiento queda en estado Pendiente hasta su confirmación</t>
        </is>
      </c>
      <c r="E48" s="13" t="inlineStr">
        <is>
          <t>Caso de error</t>
        </is>
      </c>
      <c r="F48" s="13" t="inlineStr">
        <is>
          <t>Alta</t>
        </is>
      </c>
      <c r="G48" s="13" t="inlineStr">
        <is>
          <t>Existe un movimiento que ya está en estado Confirmado o Cancelado.</t>
        </is>
      </c>
      <c r="H48" s="13" t="inlineStr">
        <is>
          <t>Movimiento en estado Confirmado</t>
        </is>
      </c>
      <c r="I48" s="13" t="inlineStr">
        <is>
          <t>1. Intentar confirmar ese movimiento nuevamente (POST /movimientos/{id}/confirmar).</t>
        </is>
      </c>
      <c r="J48" s="13" t="inlineStr">
        <is>
          <t>El sistema rechaza la operación (HTTP 409) e informa que el movimiento ya fue confirmado o cancelado.</t>
        </is>
      </c>
      <c r="K48" s="13" t="inlineStr">
        <is>
          <t>Pendiente de ejecución</t>
        </is>
      </c>
      <c r="L48" s="13" t="inlineStr">
        <is>
          <t>Pendiente</t>
        </is>
      </c>
      <c r="M48" s="13" t="inlineStr">
        <is>
          <t>N/A</t>
        </is>
      </c>
      <c r="N48" s="13" t="inlineStr">
        <is>
          <t>Pendiente</t>
        </is>
      </c>
      <c r="O48" s="13" t="inlineStr">
        <is>
          <t>mateoquartin</t>
        </is>
      </c>
      <c r="P48" s="13" t="inlineStr">
        <is>
          <t>—</t>
        </is>
      </c>
      <c r="Q48" s="13" t="inlineStr">
        <is>
          <t>N/A</t>
        </is>
      </c>
      <c r="R48" s="13" t="inlineStr">
        <is>
          <t>—</t>
        </is>
      </c>
    </row>
    <row r="49" ht="90" customHeight="1">
      <c r="A49" s="13" t="inlineStr">
        <is>
          <t>TC-STK-08-07</t>
        </is>
      </c>
      <c r="B49" s="13" t="inlineStr">
        <is>
          <t>US-STK-08</t>
        </is>
      </c>
      <c r="C49" s="13" t="inlineStr">
        <is>
          <t>#13</t>
        </is>
      </c>
      <c r="D49" s="13" t="inlineStr">
        <is>
          <t>CA-06 — Movimientos concurrentes sobre un mismo SKU controlados con transacciones ACID</t>
        </is>
      </c>
      <c r="E49" s="13" t="inlineStr">
        <is>
          <t>Caso de error</t>
        </is>
      </c>
      <c r="F49" s="13" t="inlineStr">
        <is>
          <t>Alta</t>
        </is>
      </c>
      <c r="G49" s="13" t="inlineStr">
        <is>
          <t>Existe un movimiento en proceso de confirmación sobre un artículo/depósito determinado.</t>
        </is>
      </c>
      <c r="H49" s="13" t="inlineStr">
        <is>
          <t>Dos confirmaciones simultáneas sobre el mismo articulo_id/deposito_id</t>
        </is>
      </c>
      <c r="I49" s="13" t="inlineStr">
        <is>
          <t>1. Intentar confirmar, en simultáneo, otro movimiento sobre el mismo artículo y depósito.</t>
        </is>
      </c>
      <c r="J49" s="13" t="inlineStr">
        <is>
          <t>El sistema responde 423 e indica que hay otro movimiento en proceso sobre ese artículo/depósito, y que debe reintentarse; no se aplican ambos impactos de forma concurrente sobre el mismo stock.</t>
        </is>
      </c>
      <c r="K49" s="13" t="inlineStr">
        <is>
          <t>Pendiente de ejecución</t>
        </is>
      </c>
      <c r="L49" s="13" t="inlineStr">
        <is>
          <t>Pendiente</t>
        </is>
      </c>
      <c r="M49" s="13" t="inlineStr">
        <is>
          <t>N/A</t>
        </is>
      </c>
      <c r="N49" s="13" t="inlineStr">
        <is>
          <t>Pendiente</t>
        </is>
      </c>
      <c r="O49" s="13" t="inlineStr">
        <is>
          <t>mateoquartin</t>
        </is>
      </c>
      <c r="P49" s="13" t="inlineStr">
        <is>
          <t>—</t>
        </is>
      </c>
      <c r="Q49" s="13" t="inlineStr">
        <is>
          <t>N/A</t>
        </is>
      </c>
      <c r="R49" s="13" t="inlineStr">
        <is>
          <t>—</t>
        </is>
      </c>
    </row>
    <row r="50" ht="90" customHeight="1">
      <c r="A50" s="13" t="inlineStr">
        <is>
          <t>TC-STK-09-01</t>
        </is>
      </c>
      <c r="B50" s="13" t="inlineStr">
        <is>
          <t>US-STK-09</t>
        </is>
      </c>
      <c r="C50" s="13" t="inlineStr">
        <is>
          <t>#15</t>
        </is>
      </c>
      <c r="D50" s="13" t="inlineStr">
        <is>
          <t>CA-01 — El stock sólo se actualiza luego de la confirmación</t>
        </is>
      </c>
      <c r="E50" s="13" t="inlineStr">
        <is>
          <t>Camino feliz</t>
        </is>
      </c>
      <c r="F50" s="13" t="inlineStr">
        <is>
          <t>Crítica</t>
        </is>
      </c>
      <c r="G50" s="13" t="inlineStr">
        <is>
          <t>Usuario autenticado; existe un depósito destino y al menos un artículo válido.</t>
        </is>
      </c>
      <c r="H50" s="13" t="inlineStr">
        <is>
          <t>deposito_destino_id: Depósito A | items: articulo_id: Cemento Portland x50kg, cantidad: 50, costo_unitario: 4200.00</t>
        </is>
      </c>
      <c r="I50" s="13" t="inlineStr">
        <is>
          <t>1. Registrar una recepción con uno o más ítems, cada uno con cantidad y costo_unitario mayores a 0.
2. Guardar sin confirmar.</t>
        </is>
      </c>
      <c r="J50" s="13" t="inlineStr">
        <is>
          <t>La recepción queda registrada y el stock del depósito destino todavía no se modifica.</t>
        </is>
      </c>
      <c r="K50" s="13" t="inlineStr">
        <is>
          <t>Pendiente de ejecución</t>
        </is>
      </c>
      <c r="L50" s="13" t="inlineStr">
        <is>
          <t>Pendiente</t>
        </is>
      </c>
      <c r="M50" s="13" t="inlineStr">
        <is>
          <t>N/A</t>
        </is>
      </c>
      <c r="N50" s="13" t="inlineStr">
        <is>
          <t>Pendiente</t>
        </is>
      </c>
      <c r="O50" s="13" t="inlineStr">
        <is>
          <t>mateoquartin</t>
        </is>
      </c>
      <c r="P50" s="13" t="inlineStr">
        <is>
          <t>—</t>
        </is>
      </c>
      <c r="Q50" s="13" t="inlineStr">
        <is>
          <t>N/A</t>
        </is>
      </c>
      <c r="R50" s="13" t="inlineStr">
        <is>
          <t>—</t>
        </is>
      </c>
    </row>
    <row r="51" ht="90" customHeight="1">
      <c r="A51" s="13" t="inlineStr">
        <is>
          <t>TC-STK-09-02</t>
        </is>
      </c>
      <c r="B51" s="13" t="inlineStr">
        <is>
          <t>US-STK-09</t>
        </is>
      </c>
      <c r="C51" s="13" t="inlineStr">
        <is>
          <t>#15</t>
        </is>
      </c>
      <c r="D51" s="13" t="inlineStr">
        <is>
          <t>CA-02 — Se registra usuario y fecha de recepción; CA-04 — Se actualiza automáticamente el stock del depósito correspondiente; CA-05 — Dispara el recálculo de CMP (US-STK-13)</t>
        </is>
      </c>
      <c r="E51" s="13" t="inlineStr">
        <is>
          <t>Camino feliz</t>
        </is>
      </c>
      <c r="F51" s="13" t="inlineStr">
        <is>
          <t>Crítica</t>
        </is>
      </c>
      <c r="G51" s="13" t="inlineStr">
        <is>
          <t>Existe una recepción registrada, sin confirmar.</t>
        </is>
      </c>
      <c r="H51" s="13" t="inlineStr">
        <is>
          <t>Recepción registrada sin confirmar (ver TC-STK-09-01)</t>
        </is>
      </c>
      <c r="I51" s="13" t="inlineStr">
        <is>
          <t>1. Confirmar la recepción (POST /recepciones/{id}/confirmar).</t>
        </is>
      </c>
      <c r="J51" s="13" t="inlineStr">
        <is>
          <t>Se registran el usuario y la fecha de recepción, el stock del depósito destino se actualiza automáticamente según los ítems recibidos, y se dispara el recálculo de CMP del artículo (ver [[US-STK-13]]).</t>
        </is>
      </c>
      <c r="K51" s="13" t="inlineStr">
        <is>
          <t>Pendiente de ejecución</t>
        </is>
      </c>
      <c r="L51" s="13" t="inlineStr">
        <is>
          <t>Pendiente</t>
        </is>
      </c>
      <c r="M51" s="13" t="inlineStr">
        <is>
          <t>N/A</t>
        </is>
      </c>
      <c r="N51" s="13" t="inlineStr">
        <is>
          <t>Pendiente</t>
        </is>
      </c>
      <c r="O51" s="13" t="inlineStr">
        <is>
          <t>mateoquartin</t>
        </is>
      </c>
      <c r="P51" s="13" t="inlineStr">
        <is>
          <t>—</t>
        </is>
      </c>
      <c r="Q51" s="13" t="inlineStr">
        <is>
          <t>N/A</t>
        </is>
      </c>
      <c r="R51" s="13" t="inlineStr">
        <is>
          <t>—</t>
        </is>
      </c>
    </row>
    <row r="52" ht="90" customHeight="1">
      <c r="A52" s="13" t="inlineStr">
        <is>
          <t>TC-STK-09-03</t>
        </is>
      </c>
      <c r="B52" s="13" t="inlineStr">
        <is>
          <t>US-STK-09</t>
        </is>
      </c>
      <c r="C52" s="13" t="inlineStr">
        <is>
          <t>#15</t>
        </is>
      </c>
      <c r="D52" s="13" t="inlineStr">
        <is>
          <t>Sin CA numerado — deriva de "Casos de error" del issue, no de un criterio de aceptación explícito</t>
        </is>
      </c>
      <c r="E52" s="13" t="inlineStr">
        <is>
          <t>Validación</t>
        </is>
      </c>
      <c r="F52" s="13" t="inlineStr">
        <is>
          <t>Alta</t>
        </is>
      </c>
      <c r="G52" s="13" t="inlineStr">
        <is>
          <t>Usuario en la pantalla de registro de recepción.</t>
        </is>
      </c>
      <c r="H52" s="13" t="inlineStr">
        <is>
          <t>items: [] (vacío) | o cantidad: 0 | o costo_unitario: 0</t>
        </is>
      </c>
      <c r="I52" s="13" t="inlineStr">
        <is>
          <t>1. Intentar guardar una recepción sin ítems, o con algún ítem con cantidad o costo_unitario igual o menor a 0.</t>
        </is>
      </c>
      <c r="J52" s="13" t="inlineStr">
        <is>
          <t>El sistema rechaza la operación (HTTP 400) e informa el campo inválido; la recepción no se registra.</t>
        </is>
      </c>
      <c r="K52" s="13" t="inlineStr">
        <is>
          <t>Pendiente de ejecución</t>
        </is>
      </c>
      <c r="L52" s="13" t="inlineStr">
        <is>
          <t>Pendiente</t>
        </is>
      </c>
      <c r="M52" s="13" t="inlineStr">
        <is>
          <t>N/A</t>
        </is>
      </c>
      <c r="N52" s="13" t="inlineStr">
        <is>
          <t>Pendiente</t>
        </is>
      </c>
      <c r="O52" s="13" t="inlineStr">
        <is>
          <t>mateoquartin</t>
        </is>
      </c>
      <c r="P52" s="13" t="inlineStr">
        <is>
          <t>—</t>
        </is>
      </c>
      <c r="Q52" s="13" t="inlineStr">
        <is>
          <t>N/A</t>
        </is>
      </c>
      <c r="R52" s="13" t="inlineStr">
        <is>
          <t>—</t>
        </is>
      </c>
    </row>
    <row r="53" ht="90" customHeight="1">
      <c r="A53" s="13" t="inlineStr">
        <is>
          <t>TC-STK-09-04</t>
        </is>
      </c>
      <c r="B53" s="13" t="inlineStr">
        <is>
          <t>US-STK-09</t>
        </is>
      </c>
      <c r="C53" s="13" t="inlineStr">
        <is>
          <t>#15</t>
        </is>
      </c>
      <c r="D53" s="13" t="inlineStr">
        <is>
          <t>CA-03 — Se impiden confirmaciones duplicadas</t>
        </is>
      </c>
      <c r="E53" s="13" t="inlineStr">
        <is>
          <t>Caso de error</t>
        </is>
      </c>
      <c r="F53" s="13" t="inlineStr">
        <is>
          <t>Alta</t>
        </is>
      </c>
      <c r="G53" s="13" t="inlineStr">
        <is>
          <t>Existe una recepción que ya fue confirmada previamente.</t>
        </is>
      </c>
      <c r="H53" s="13" t="inlineStr">
        <is>
          <t>Recepción en estado Confirmada</t>
        </is>
      </c>
      <c r="I53" s="13" t="inlineStr">
        <is>
          <t>1. Intentar confirmar esa misma recepción nuevamente.</t>
        </is>
      </c>
      <c r="J53" s="13" t="inlineStr">
        <is>
          <t>El sistema rechaza la operación (HTTP 409); el ingreso de stock no se duplica (idempotencia).</t>
        </is>
      </c>
      <c r="K53" s="13" t="inlineStr">
        <is>
          <t>Pendiente de ejecución</t>
        </is>
      </c>
      <c r="L53" s="13" t="inlineStr">
        <is>
          <t>Pendiente</t>
        </is>
      </c>
      <c r="M53" s="13" t="inlineStr">
        <is>
          <t>N/A</t>
        </is>
      </c>
      <c r="N53" s="13" t="inlineStr">
        <is>
          <t>Pendiente</t>
        </is>
      </c>
      <c r="O53" s="13" t="inlineStr">
        <is>
          <t>mateoquartin</t>
        </is>
      </c>
      <c r="P53" s="13" t="inlineStr">
        <is>
          <t>—</t>
        </is>
      </c>
      <c r="Q53" s="13" t="inlineStr">
        <is>
          <t>N/A</t>
        </is>
      </c>
      <c r="R53" s="13" t="inlineStr">
        <is>
          <t>—</t>
        </is>
      </c>
    </row>
    <row r="54" ht="90" customHeight="1">
      <c r="A54" s="13" t="inlineStr">
        <is>
          <t>TC-STK-09-05</t>
        </is>
      </c>
      <c r="B54" s="13" t="inlineStr">
        <is>
          <t>US-STK-09</t>
        </is>
      </c>
      <c r="C54" s="13" t="inlineStr">
        <is>
          <t>#15</t>
        </is>
      </c>
      <c r="D54" s="13" t="inlineStr">
        <is>
          <t>Sin CA numerado — deriva de "Casos de error" del issue, no de un criterio de aceptación explícito</t>
        </is>
      </c>
      <c r="E54" s="13" t="inlineStr">
        <is>
          <t>Caso de error</t>
        </is>
      </c>
      <c r="F54" s="13" t="inlineStr">
        <is>
          <t>Baja</t>
        </is>
      </c>
      <c r="G54" s="13" t="inlineStr">
        <is>
          <t>El módulo de Compras ya está integrado y permite validar orden_compra_id. [Condicional: el propio issue aclara que en Sprint 1 este control puede ser opcional si Compras todavía no está integrado — verificar vigencia antes de ejecutar.]</t>
        </is>
      </c>
      <c r="H54" s="13" t="inlineStr">
        <is>
          <t>orden_compra_id: id inexistente</t>
        </is>
      </c>
      <c r="I54" s="13" t="inlineStr">
        <is>
          <t>1. Registrar una recepción referenciando un orden_compra_id que no existe.</t>
        </is>
      </c>
      <c r="J54" s="13" t="inlineStr">
        <is>
          <t>El sistema rechaza la operación (HTTP 404) e informa que la orden de compra no existe.</t>
        </is>
      </c>
      <c r="K54" s="13" t="inlineStr">
        <is>
          <t>Pendiente de ejecución</t>
        </is>
      </c>
      <c r="L54" s="13" t="inlineStr">
        <is>
          <t>Pendiente</t>
        </is>
      </c>
      <c r="M54" s="13" t="inlineStr">
        <is>
          <t>N/A</t>
        </is>
      </c>
      <c r="N54" s="13" t="inlineStr">
        <is>
          <t>Pendiente</t>
        </is>
      </c>
      <c r="O54" s="13" t="inlineStr">
        <is>
          <t>mateoquartin</t>
        </is>
      </c>
      <c r="P54" s="13" t="inlineStr">
        <is>
          <t>—</t>
        </is>
      </c>
      <c r="Q54" s="13" t="inlineStr">
        <is>
          <t>N/A</t>
        </is>
      </c>
      <c r="R54" s="13" t="inlineStr">
        <is>
          <t>Condicional: el issue aclara que puede no aplicar en Sprint 1 si Compras no está integrado.</t>
        </is>
      </c>
    </row>
    <row r="55" ht="90" customHeight="1">
      <c r="A55" s="13" t="inlineStr">
        <is>
          <t>TC-STK-13-01</t>
        </is>
      </c>
      <c r="B55" s="13" t="inlineStr">
        <is>
          <t>US-STK-13</t>
        </is>
      </c>
      <c r="C55" s="13" t="inlineStr">
        <is>
          <t>#16</t>
        </is>
      </c>
      <c r="D55" s="13" t="inlineStr">
        <is>
          <t>CA-01 — El CMP se recalcula automáticamente al confirmar cada recepción</t>
        </is>
      </c>
      <c r="E55" s="13" t="inlineStr">
        <is>
          <t>Camino feliz</t>
        </is>
      </c>
      <c r="F55" s="13" t="inlineStr">
        <is>
          <t>Crítica</t>
        </is>
      </c>
      <c r="G55" s="13" t="inlineStr">
        <is>
          <t>Existe un artículo con un CMP actual conocido y stock cargado en un depósito.</t>
        </is>
      </c>
      <c r="H55" s="13" t="inlineStr">
        <is>
          <t>CMP actual: 4000.00 | stock actual: 100 | recepción: costo_unitario 4200.00, cantidad 50 (CMP nuevo esperado: 4066,67 según fórmula del issue)</t>
        </is>
      </c>
      <c r="I55" s="13" t="inlineStr">
        <is>
          <t>1. Confirmar una recepción de ese artículo con una cantidad y un costo_unitario determinados.</t>
        </is>
      </c>
      <c r="J55" s="13" t="inlineStr">
        <is>
          <t>El CMP del artículo se recalcula automáticamente aplicando la fórmula CMP_nuevo = (CMP_actual × stock_actual + costo_unitario_recepción × cantidad_recepción) / (stock_actual + cantidad_recepción).</t>
        </is>
      </c>
      <c r="K55" s="13" t="inlineStr">
        <is>
          <t>Pendiente de ejecución</t>
        </is>
      </c>
      <c r="L55" s="13" t="inlineStr">
        <is>
          <t>Pendiente</t>
        </is>
      </c>
      <c r="M55" s="13" t="inlineStr">
        <is>
          <t>N/A</t>
        </is>
      </c>
      <c r="N55" s="13" t="inlineStr">
        <is>
          <t>Pendiente</t>
        </is>
      </c>
      <c r="O55" s="13" t="inlineStr">
        <is>
          <t>carmelaserrano</t>
        </is>
      </c>
      <c r="P55" s="13" t="inlineStr">
        <is>
          <t>—</t>
        </is>
      </c>
      <c r="Q55" s="13" t="inlineStr">
        <is>
          <t>N/A</t>
        </is>
      </c>
      <c r="R55" s="13" t="inlineStr">
        <is>
          <t>—</t>
        </is>
      </c>
    </row>
    <row r="56" ht="90" customHeight="1">
      <c r="A56" s="13" t="inlineStr">
        <is>
          <t>TC-STK-13-02</t>
        </is>
      </c>
      <c r="B56" s="13" t="inlineStr">
        <is>
          <t>US-STK-13</t>
        </is>
      </c>
      <c r="C56" s="13" t="inlineStr">
        <is>
          <t>#16</t>
        </is>
      </c>
      <c r="D56" s="13" t="inlineStr">
        <is>
          <t>CA-02 — Se muestra por artículo, categoría y depósito</t>
        </is>
      </c>
      <c r="E56" s="13" t="inlineStr">
        <is>
          <t>Camino feliz</t>
        </is>
      </c>
      <c r="F56" s="13" t="inlineStr">
        <is>
          <t>Alta</t>
        </is>
      </c>
      <c r="G56" s="13" t="inlineStr">
        <is>
          <t>Existen artículos con CMP calculado en distintas categorías y depósitos.</t>
        </is>
      </c>
      <c r="H56" s="13" t="inlineStr">
        <is>
          <t>Filtro por articulo_id / categoria_id / deposito_id</t>
        </is>
      </c>
      <c r="I56" s="13" t="inlineStr">
        <is>
          <t>1. Consultar la valorización filtrando por artículo.
2. Consultar la valorización filtrando por categoría.
3. Consultar la valorización filtrando por depósito.</t>
        </is>
      </c>
      <c r="J56" s="13" t="inlineStr">
        <is>
          <t>En cada caso, la consulta devuelve los valores de valorización agrupados correctamente según el filtro aplicado.</t>
        </is>
      </c>
      <c r="K56" s="13" t="inlineStr">
        <is>
          <t>Pendiente de ejecución</t>
        </is>
      </c>
      <c r="L56" s="13" t="inlineStr">
        <is>
          <t>Pendiente</t>
        </is>
      </c>
      <c r="M56" s="13" t="inlineStr">
        <is>
          <t>N/A</t>
        </is>
      </c>
      <c r="N56" s="13" t="inlineStr">
        <is>
          <t>Pendiente</t>
        </is>
      </c>
      <c r="O56" s="13" t="inlineStr">
        <is>
          <t>carmelaserrano</t>
        </is>
      </c>
      <c r="P56" s="13" t="inlineStr">
        <is>
          <t>—</t>
        </is>
      </c>
      <c r="Q56" s="13" t="inlineStr">
        <is>
          <t>N/A</t>
        </is>
      </c>
      <c r="R56" s="13" t="inlineStr">
        <is>
          <t>—</t>
        </is>
      </c>
    </row>
    <row r="57" ht="90" customHeight="1">
      <c r="A57" s="13" t="inlineStr">
        <is>
          <t>TC-STK-13-03</t>
        </is>
      </c>
      <c r="B57" s="13" t="inlineStr">
        <is>
          <t>US-STK-13</t>
        </is>
      </c>
      <c r="C57" s="13" t="inlineStr">
        <is>
          <t>#16</t>
        </is>
      </c>
      <c r="D57" s="13" t="inlineStr">
        <is>
          <t>CA-03 — Se almacena históricamente cada variación de CMP por artículo</t>
        </is>
      </c>
      <c r="E57" s="13" t="inlineStr">
        <is>
          <t>Camino feliz</t>
        </is>
      </c>
      <c r="F57" s="13" t="inlineStr">
        <is>
          <t>Alta</t>
        </is>
      </c>
      <c r="G57" s="13" t="inlineStr">
        <is>
          <t>Un artículo tuvo al menos una recepción confirmada que modificó su CMP.</t>
        </is>
      </c>
      <c r="H57" s="13" t="inlineStr">
        <is>
          <t>Artículo con una recepción confirmada adicional</t>
        </is>
      </c>
      <c r="I57" s="13" t="inlineStr">
        <is>
          <t>1. Confirmar una nueva recepción del artículo que dispare un recálculo de CMP.
2. Consultar el histórico de CMP del artículo (GET /valorizacion/historico).</t>
        </is>
      </c>
      <c r="J57" s="13" t="inlineStr">
        <is>
          <t>El histórico incluye la nueva variación de CMP, con fecha y el evento (recepción) que la disparó.</t>
        </is>
      </c>
      <c r="K57" s="13" t="inlineStr">
        <is>
          <t>Pendiente de ejecución</t>
        </is>
      </c>
      <c r="L57" s="13" t="inlineStr">
        <is>
          <t>Pendiente</t>
        </is>
      </c>
      <c r="M57" s="13" t="inlineStr">
        <is>
          <t>N/A</t>
        </is>
      </c>
      <c r="N57" s="13" t="inlineStr">
        <is>
          <t>Pendiente</t>
        </is>
      </c>
      <c r="O57" s="13" t="inlineStr">
        <is>
          <t>carmelaserrano</t>
        </is>
      </c>
      <c r="P57" s="13" t="inlineStr">
        <is>
          <t>—</t>
        </is>
      </c>
      <c r="Q57" s="13" t="inlineStr">
        <is>
          <t>N/A</t>
        </is>
      </c>
      <c r="R57" s="13" t="inlineStr">
        <is>
          <t>—</t>
        </is>
      </c>
    </row>
    <row r="58" ht="90" customHeight="1">
      <c r="A58" s="13" t="inlineStr">
        <is>
          <t>TC-STK-13-04</t>
        </is>
      </c>
      <c r="B58" s="13" t="inlineStr">
        <is>
          <t>US-STK-13</t>
        </is>
      </c>
      <c r="C58" s="13" t="inlineStr">
        <is>
          <t>#16</t>
        </is>
      </c>
      <c r="D58" s="13" t="inlineStr">
        <is>
          <t>CA-04 — El costo resultante queda disponible para Ventas y Finanzas</t>
        </is>
      </c>
      <c r="E58" s="13" t="inlineStr">
        <is>
          <t>Integración</t>
        </is>
      </c>
      <c r="F58" s="13" t="inlineStr">
        <is>
          <t>Baja</t>
        </is>
      </c>
      <c r="G58" s="13" t="inlineStr">
        <is>
          <t>Requiere que los módulos Ventas y Finanzas existan e integren el costo resultante. [Ambigüedad/bloqueo: estos módulos no forman parte del alcance implementado en el Sprint 1 relevado — ver observaciones.]</t>
        </is>
      </c>
      <c r="H58" s="13" t="inlineStr">
        <is>
          <t>N/A</t>
        </is>
      </c>
      <c r="I58" s="13" t="inlineStr">
        <is>
          <t>1. Desde Ventas y desde Finanzas, consultar el costo (CMP) vigente de un artículo.</t>
        </is>
      </c>
      <c r="J58" s="13" t="inlineStr">
        <is>
          <t>El costo (CMP) vigente está disponible y es consistente al consultarlo desde Ventas y desde Finanzas.</t>
        </is>
      </c>
      <c r="K58" s="13" t="inlineStr">
        <is>
          <t>Pendiente de ejecución</t>
        </is>
      </c>
      <c r="L58" s="13" t="inlineStr">
        <is>
          <t>Pendiente</t>
        </is>
      </c>
      <c r="M58" s="13" t="inlineStr">
        <is>
          <t>N/A</t>
        </is>
      </c>
      <c r="N58" s="13" t="inlineStr">
        <is>
          <t>Pendiente</t>
        </is>
      </c>
      <c r="O58" s="13" t="inlineStr">
        <is>
          <t>carmelaserrano</t>
        </is>
      </c>
      <c r="P58" s="13" t="inlineStr">
        <is>
          <t>—</t>
        </is>
      </c>
      <c r="Q58" s="13" t="inlineStr">
        <is>
          <t>N/A</t>
        </is>
      </c>
      <c r="R58" s="13" t="inlineStr">
        <is>
          <t>Bloqueado: Ventas y Finanzas no están implementados en el alcance relevado de este sprint.</t>
        </is>
      </c>
    </row>
    <row r="59" ht="90" customHeight="1">
      <c r="A59" s="13" t="inlineStr">
        <is>
          <t>TC-STK-13-05</t>
        </is>
      </c>
      <c r="B59" s="13" t="inlineStr">
        <is>
          <t>US-STK-13</t>
        </is>
      </c>
      <c r="C59" s="13" t="inlineStr">
        <is>
          <t>#16</t>
        </is>
      </c>
      <c r="D59" s="13" t="inlineStr">
        <is>
          <t>CA-02 — Se muestra por artículo, categoría y depósito</t>
        </is>
      </c>
      <c r="E59" s="13" t="inlineStr">
        <is>
          <t>Validación</t>
        </is>
      </c>
      <c r="F59" s="13" t="inlineStr">
        <is>
          <t>Media</t>
        </is>
      </c>
      <c r="G59" s="13" t="inlineStr">
        <is>
          <t>Usuario con acceso a la consulta de valorización.</t>
        </is>
      </c>
      <c r="H59" s="13" t="inlineStr">
        <is>
          <t>categoria_id: "no-es-un-uuid"</t>
        </is>
      </c>
      <c r="I59" s="13" t="inlineStr">
        <is>
          <t>1. Consultar la valorización enviando un filtro con formato inválido.</t>
        </is>
      </c>
      <c r="J59" s="13" t="inlineStr">
        <is>
          <t>El sistema rechaza la operación (HTTP 400) e informa que el formato del filtro es inválido.</t>
        </is>
      </c>
      <c r="K59" s="13" t="inlineStr">
        <is>
          <t>Pendiente de ejecución</t>
        </is>
      </c>
      <c r="L59" s="13" t="inlineStr">
        <is>
          <t>Pendiente</t>
        </is>
      </c>
      <c r="M59" s="13" t="inlineStr">
        <is>
          <t>N/A</t>
        </is>
      </c>
      <c r="N59" s="13" t="inlineStr">
        <is>
          <t>Pendiente</t>
        </is>
      </c>
      <c r="O59" s="13" t="inlineStr">
        <is>
          <t>carmelaserrano</t>
        </is>
      </c>
      <c r="P59" s="13" t="inlineStr">
        <is>
          <t>—</t>
        </is>
      </c>
      <c r="Q59" s="13" t="inlineStr">
        <is>
          <t>N/A</t>
        </is>
      </c>
      <c r="R59" s="13" t="inlineStr">
        <is>
          <t>—</t>
        </is>
      </c>
    </row>
    <row r="60" ht="90" customHeight="1">
      <c r="A60" s="13" t="inlineStr">
        <is>
          <t>TC-STK-13-06</t>
        </is>
      </c>
      <c r="B60" s="13" t="inlineStr">
        <is>
          <t>US-STK-13</t>
        </is>
      </c>
      <c r="C60" s="13" t="inlineStr">
        <is>
          <t>#16</t>
        </is>
      </c>
      <c r="D60" s="13" t="inlineStr">
        <is>
          <t>Sin CA numerado — deriva de "Casos de error" del issue, no de un criterio de aceptación explícito</t>
        </is>
      </c>
      <c r="E60" s="13" t="inlineStr">
        <is>
          <t>Validación</t>
        </is>
      </c>
      <c r="F60" s="13" t="inlineStr">
        <is>
          <t>Baja</t>
        </is>
      </c>
      <c r="G60" s="13" t="inlineStr">
        <is>
          <t>Existe un artículo que nunca tuvo una recepción confirmada.</t>
        </is>
      </c>
      <c r="H60" s="13" t="inlineStr">
        <is>
          <t>Artículo sin recepciones confirmadas</t>
        </is>
      </c>
      <c r="I60" s="13" t="inlineStr">
        <is>
          <t>1. Consultar la valorización de ese artículo.</t>
        </is>
      </c>
      <c r="J60" s="13" t="inlineStr">
        <is>
          <t>El sistema responde HTTP 200 con cmp_actual: 0; no se considera un error, es un estado válido para un artículo sin recepciones.</t>
        </is>
      </c>
      <c r="K60" s="13" t="inlineStr">
        <is>
          <t>Pendiente de ejecución</t>
        </is>
      </c>
      <c r="L60" s="13" t="inlineStr">
        <is>
          <t>Pendiente</t>
        </is>
      </c>
      <c r="M60" s="13" t="inlineStr">
        <is>
          <t>N/A</t>
        </is>
      </c>
      <c r="N60" s="13" t="inlineStr">
        <is>
          <t>Pendiente</t>
        </is>
      </c>
      <c r="O60" s="13" t="inlineStr">
        <is>
          <t>carmelaserrano</t>
        </is>
      </c>
      <c r="P60" s="13" t="inlineStr">
        <is>
          <t>—</t>
        </is>
      </c>
      <c r="Q60" s="13" t="inlineStr">
        <is>
          <t>N/A</t>
        </is>
      </c>
      <c r="R60" s="13" t="inlineStr">
        <is>
          <t>—</t>
        </is>
      </c>
    </row>
    <row r="61" ht="90" customHeight="1">
      <c r="A61" s="13" t="inlineStr">
        <is>
          <t>TC-STK-15-01</t>
        </is>
      </c>
      <c r="B61" s="13" t="inlineStr">
        <is>
          <t>US-STK-15</t>
        </is>
      </c>
      <c r="C61" s="13" t="inlineStr">
        <is>
          <t>#17</t>
        </is>
      </c>
      <c r="D61" s="13" t="inlineStr">
        <is>
          <t>CA-01 — La alerta se dispara en el momento exacto en que un movimiento confirmado cruza el umbral mínimo</t>
        </is>
      </c>
      <c r="E61" s="13" t="inlineStr">
        <is>
          <t>Camino feliz</t>
        </is>
      </c>
      <c r="F61" s="13" t="inlineStr">
        <is>
          <t>Crítica</t>
        </is>
      </c>
      <c r="G61" s="13" t="inlineStr">
        <is>
          <t>Existe una configuración de stock mínimo/máximo para un artículo/depósito, con el disponible actual por encima del mínimo.</t>
        </is>
      </c>
      <c r="H61" s="13" t="inlineStr">
        <is>
          <t>stock_minimo configurado: 20 | movimiento que deja stock_disponible: 8</t>
        </is>
      </c>
      <c r="I61" s="13" t="inlineStr">
        <is>
          <t>1. Confirmar un movimiento de stock que haga que el disponible cruce por debajo del mínimo configurado.</t>
        </is>
      </c>
      <c r="J61" s="13" t="inlineStr">
        <is>
          <t>En el momento en que se confirma el movimiento que cruza el umbral, se genera una alerta activa para ese artículo/depósito.</t>
        </is>
      </c>
      <c r="K61" s="13" t="inlineStr">
        <is>
          <t>Pendiente de ejecución</t>
        </is>
      </c>
      <c r="L61" s="13" t="inlineStr">
        <is>
          <t>Pendiente</t>
        </is>
      </c>
      <c r="M61" s="13" t="inlineStr">
        <is>
          <t>N/A</t>
        </is>
      </c>
      <c r="N61" s="13" t="inlineStr">
        <is>
          <t>Pendiente</t>
        </is>
      </c>
      <c r="O61" s="13" t="inlineStr">
        <is>
          <t>carmelaserrano</t>
        </is>
      </c>
      <c r="P61" s="13" t="inlineStr">
        <is>
          <t>—</t>
        </is>
      </c>
      <c r="Q61" s="13" t="inlineStr">
        <is>
          <t>N/A</t>
        </is>
      </c>
      <c r="R61" s="13" t="inlineStr">
        <is>
          <t>—</t>
        </is>
      </c>
    </row>
    <row r="62" ht="90" customHeight="1">
      <c r="A62" s="13" t="inlineStr">
        <is>
          <t>TC-STK-15-02</t>
        </is>
      </c>
      <c r="B62" s="13" t="inlineStr">
        <is>
          <t>US-STK-15</t>
        </is>
      </c>
      <c r="C62" s="13" t="inlineStr">
        <is>
          <t>#17</t>
        </is>
      </c>
      <c r="D62" s="13" t="inlineStr">
        <is>
          <t>CA-02 — Notificación in-app + correo automático al área de compras</t>
        </is>
      </c>
      <c r="E62" s="13" t="inlineStr">
        <is>
          <t>Camino feliz</t>
        </is>
      </c>
      <c r="F62" s="13" t="inlineStr">
        <is>
          <t>Alta</t>
        </is>
      </c>
      <c r="G62" s="13" t="inlineStr">
        <is>
          <t>Se genera una alerta activa (ver TC-STK-15-01).</t>
        </is>
      </c>
      <c r="H62" s="13" t="inlineStr">
        <is>
          <t>Alerta activa generada (ver TC-STK-15-01)</t>
        </is>
      </c>
      <c r="I62" s="13" t="inlineStr">
        <is>
          <t>1. Verificar la bandeja de notificaciones in-app del área de Compras.
2. Verificar la casilla de correo configurada para el área de Compras.</t>
        </is>
      </c>
      <c r="J62" s="13" t="inlineStr">
        <is>
          <t>El área de Compras recibe la notificación in-app y el correo automático correspondientes a la alerta generada.</t>
        </is>
      </c>
      <c r="K62" s="13" t="inlineStr">
        <is>
          <t>Pendiente de ejecución</t>
        </is>
      </c>
      <c r="L62" s="13" t="inlineStr">
        <is>
          <t>Pendiente</t>
        </is>
      </c>
      <c r="M62" s="13" t="inlineStr">
        <is>
          <t>N/A</t>
        </is>
      </c>
      <c r="N62" s="13" t="inlineStr">
        <is>
          <t>Pendiente</t>
        </is>
      </c>
      <c r="O62" s="13" t="inlineStr">
        <is>
          <t>carmelaserrano</t>
        </is>
      </c>
      <c r="P62" s="13" t="inlineStr">
        <is>
          <t>—</t>
        </is>
      </c>
      <c r="Q62" s="13" t="inlineStr">
        <is>
          <t>N/A</t>
        </is>
      </c>
      <c r="R62" s="13" t="inlineStr">
        <is>
          <t>—</t>
        </is>
      </c>
    </row>
    <row r="63" ht="90" customHeight="1">
      <c r="A63" s="13" t="inlineStr">
        <is>
          <t>TC-STK-15-03</t>
        </is>
      </c>
      <c r="B63" s="13" t="inlineStr">
        <is>
          <t>US-STK-15</t>
        </is>
      </c>
      <c r="C63" s="13" t="inlineStr">
        <is>
          <t>#17</t>
        </is>
      </c>
      <c r="D63" s="13" t="inlineStr">
        <is>
          <t>CA-03 — Los artículos afectados se listan con prioridad en el dashboard gerencial</t>
        </is>
      </c>
      <c r="E63" s="13" t="inlineStr">
        <is>
          <t>Camino feliz</t>
        </is>
      </c>
      <c r="F63" s="13" t="inlineStr">
        <is>
          <t>Media</t>
        </is>
      </c>
      <c r="G63" s="13" t="inlineStr">
        <is>
          <t>Existe al menos una alerta activa.</t>
        </is>
      </c>
      <c r="H63" s="13" t="inlineStr">
        <is>
          <t>Alerta activa generada (ver TC-STK-15-01)</t>
        </is>
      </c>
      <c r="I63" s="13" t="inlineStr">
        <is>
          <t>1. Ingresar al dashboard gerencial.</t>
        </is>
      </c>
      <c r="J63" s="13" t="inlineStr">
        <is>
          <t>El artículo con alerta activa aparece listado con prioridad en el dashboard gerencial.</t>
        </is>
      </c>
      <c r="K63" s="13" t="inlineStr">
        <is>
          <t>Pendiente de ejecución</t>
        </is>
      </c>
      <c r="L63" s="13" t="inlineStr">
        <is>
          <t>Pendiente</t>
        </is>
      </c>
      <c r="M63" s="13" t="inlineStr">
        <is>
          <t>N/A</t>
        </is>
      </c>
      <c r="N63" s="13" t="inlineStr">
        <is>
          <t>Pendiente</t>
        </is>
      </c>
      <c r="O63" s="13" t="inlineStr">
        <is>
          <t>carmelaserrano</t>
        </is>
      </c>
      <c r="P63" s="13" t="inlineStr">
        <is>
          <t>—</t>
        </is>
      </c>
      <c r="Q63" s="13" t="inlineStr">
        <is>
          <t>N/A</t>
        </is>
      </c>
      <c r="R63" s="13" t="inlineStr">
        <is>
          <t>—</t>
        </is>
      </c>
    </row>
    <row r="64" ht="90" customHeight="1">
      <c r="A64" s="13" t="inlineStr">
        <is>
          <t>TC-STK-15-04</t>
        </is>
      </c>
      <c r="B64" s="13" t="inlineStr">
        <is>
          <t>US-STK-15</t>
        </is>
      </c>
      <c r="C64" s="13" t="inlineStr">
        <is>
          <t>#17</t>
        </is>
      </c>
      <c r="D64" s="13" t="inlineStr">
        <is>
          <t>Sin CA numerado — deriva de "Casos de error" del issue, no de un criterio de aceptación explícito</t>
        </is>
      </c>
      <c r="E64" s="13" t="inlineStr">
        <is>
          <t>Camino feliz</t>
        </is>
      </c>
      <c r="F64" s="13" t="inlineStr">
        <is>
          <t>Media</t>
        </is>
      </c>
      <c r="G64" s="13" t="inlineStr">
        <is>
          <t>Existe una alerta activa (estado: activa).</t>
        </is>
      </c>
      <c r="H64" s="13" t="inlineStr">
        <is>
          <t>Alerta en estado: activa</t>
        </is>
      </c>
      <c r="I64" s="13" t="inlineStr">
        <is>
          <t>1. Marcar la alerta como atendida (POST /alertas/{id}/atender).</t>
        </is>
      </c>
      <c r="J64" s="13" t="inlineStr">
        <is>
          <t>La alerta pasa a estado gestionada/atendida.</t>
        </is>
      </c>
      <c r="K64" s="13" t="inlineStr">
        <is>
          <t>Pendiente de ejecución</t>
        </is>
      </c>
      <c r="L64" s="13" t="inlineStr">
        <is>
          <t>Pendiente</t>
        </is>
      </c>
      <c r="M64" s="13" t="inlineStr">
        <is>
          <t>N/A</t>
        </is>
      </c>
      <c r="N64" s="13" t="inlineStr">
        <is>
          <t>Pendiente</t>
        </is>
      </c>
      <c r="O64" s="13" t="inlineStr">
        <is>
          <t>carmelaserrano</t>
        </is>
      </c>
      <c r="P64" s="13" t="inlineStr">
        <is>
          <t>—</t>
        </is>
      </c>
      <c r="Q64" s="13" t="inlineStr">
        <is>
          <t>N/A</t>
        </is>
      </c>
      <c r="R64" s="13" t="inlineStr">
        <is>
          <t>—</t>
        </is>
      </c>
    </row>
    <row r="65" ht="90" customHeight="1">
      <c r="A65" s="13" t="inlineStr">
        <is>
          <t>TC-STK-15-05</t>
        </is>
      </c>
      <c r="B65" s="13" t="inlineStr">
        <is>
          <t>US-STK-15</t>
        </is>
      </c>
      <c r="C65" s="13" t="inlineStr">
        <is>
          <t>#17</t>
        </is>
      </c>
      <c r="D65" s="13" t="inlineStr">
        <is>
          <t>Sin CA numerado — deriva de "Casos de error" del issue, no de un criterio de aceptación explícito</t>
        </is>
      </c>
      <c r="E65" s="13" t="inlineStr">
        <is>
          <t>Caso de error</t>
        </is>
      </c>
      <c r="F65" s="13" t="inlineStr">
        <is>
          <t>Media</t>
        </is>
      </c>
      <c r="G65" s="13" t="inlineStr">
        <is>
          <t>Existe una alerta que ya fue atendida previamente.</t>
        </is>
      </c>
      <c r="H65" s="13" t="inlineStr">
        <is>
          <t>Alerta en estado: ya atendida</t>
        </is>
      </c>
      <c r="I65" s="13" t="inlineStr">
        <is>
          <t>1. Intentar atender esa misma alerta nuevamente.</t>
        </is>
      </c>
      <c r="J65" s="13" t="inlineStr">
        <is>
          <t>El sistema rechaza la operación (HTTP 409) e informa que la alerta ya fue atendida.</t>
        </is>
      </c>
      <c r="K65" s="13" t="inlineStr">
        <is>
          <t>Pendiente de ejecución</t>
        </is>
      </c>
      <c r="L65" s="13" t="inlineStr">
        <is>
          <t>Pendiente</t>
        </is>
      </c>
      <c r="M65" s="13" t="inlineStr">
        <is>
          <t>N/A</t>
        </is>
      </c>
      <c r="N65" s="13" t="inlineStr">
        <is>
          <t>Pendiente</t>
        </is>
      </c>
      <c r="O65" s="13" t="inlineStr">
        <is>
          <t>carmelaserrano</t>
        </is>
      </c>
      <c r="P65" s="13" t="inlineStr">
        <is>
          <t>—</t>
        </is>
      </c>
      <c r="Q65" s="13" t="inlineStr">
        <is>
          <t>N/A</t>
        </is>
      </c>
      <c r="R65" s="13" t="inlineStr">
        <is>
          <t>—</t>
        </is>
      </c>
    </row>
  </sheetData>
  <conditionalFormatting sqref="L2:L65">
    <cfRule type="cellIs" priority="1" operator="equal" dxfId="0">
      <formula>"Aprobado"</formula>
    </cfRule>
    <cfRule type="cellIs" priority="2" operator="equal" dxfId="2">
      <formula>"Fallido"</formula>
    </cfRule>
    <cfRule type="cellIs" priority="3" operator="equal" dxfId="3">
      <formula>"Bloqueado"</formula>
    </cfRule>
    <cfRule type="cellIs" priority="4" operator="equal" dxfId="1">
      <formula>"Pendiente"</formula>
    </cfRule>
    <cfRule type="cellIs" priority="5" operator="equal" dxfId="4">
      <formula>"No ejecutado"</formula>
    </cfRule>
  </conditionalFormatting>
  <conditionalFormatting sqref="F2:F65">
    <cfRule type="cellIs" priority="6" operator="equal" dxfId="5">
      <formula>"Crítica"</formula>
    </cfRule>
    <cfRule type="cellIs" priority="7" operator="equal" dxfId="3">
      <formula>"Alta"</formula>
    </cfRule>
    <cfRule type="cellIs" priority="8" operator="equal" dxfId="1">
      <formula>"Media"</formula>
    </cfRule>
    <cfRule type="cellIs" priority="9" operator="equal" dxfId="4">
      <formula>"Baja"</formula>
    </cfRule>
  </conditionalFormatting>
  <conditionalFormatting sqref="M2:M65">
    <cfRule type="cellIs" priority="10" operator="equal" dxfId="5">
      <formula>"Crítica"</formula>
    </cfRule>
    <cfRule type="cellIs" priority="11" operator="equal" dxfId="3">
      <formula>"Alta"</formula>
    </cfRule>
    <cfRule type="cellIs" priority="12" operator="equal" dxfId="1">
      <formula>"Media"</formula>
    </cfRule>
    <cfRule type="cellIs" priority="13" operator="equal" dxfId="4">
      <formula>"N/A"</formula>
    </cfRule>
  </conditionalFormatting>
  <dataValidations count="4">
    <dataValidation sqref="L2:L65" showDropDown="0" showInputMessage="0" showErrorMessage="0" allowBlank="0" type="list">
      <formula1>=ListaEstados</formula1>
    </dataValidation>
    <dataValidation sqref="E2:E65" showDropDown="0" showInputMessage="0" showErrorMessage="0" allowBlank="0" type="list">
      <formula1>=ListaTipos</formula1>
    </dataValidation>
    <dataValidation sqref="F2:F65" showDropDown="0" showInputMessage="0" showErrorMessage="0" allowBlank="0" type="list">
      <formula1>=ListaPrioridades</formula1>
    </dataValidation>
    <dataValidation sqref="M2:M65" showDropDown="0" showInputMessage="0" showErrorMessage="0" allowBlank="0" type="list">
      <formula1>=ListaSeveridades</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2" customWidth="1" min="3" max="3"/>
    <col width="16" customWidth="1" min="4" max="4"/>
    <col width="10" customWidth="1" min="5" max="5"/>
    <col width="12" customWidth="1" min="6" max="6"/>
    <col width="13" customWidth="1" min="7" max="7"/>
    <col width="11" customWidth="1" min="8" max="8"/>
    <col width="10" customWidth="1" min="9" max="9"/>
    <col width="9" customWidth="1" min="10" max="10"/>
    <col width="10" customWidth="1" min="11" max="11"/>
    <col width="12" customWidth="1" min="12" max="12"/>
  </cols>
  <sheetData>
    <row r="1" ht="32" customHeight="1">
      <c r="A1" s="12" t="inlineStr">
        <is>
          <t>Historia</t>
        </is>
      </c>
      <c r="B1" s="12" t="inlineStr">
        <is>
          <t>Issue</t>
        </is>
      </c>
      <c r="C1" s="12" t="inlineStr">
        <is>
          <t>Título</t>
        </is>
      </c>
      <c r="D1" s="12" t="inlineStr">
        <is>
          <t>Responsable</t>
        </is>
      </c>
      <c r="E1" s="12" t="inlineStr">
        <is>
          <t>Total TC</t>
        </is>
      </c>
      <c r="F1" s="12" t="inlineStr">
        <is>
          <t>Camino feliz</t>
        </is>
      </c>
      <c r="G1" s="12" t="inlineStr">
        <is>
          <t>Casos de error</t>
        </is>
      </c>
      <c r="H1" s="12" t="inlineStr">
        <is>
          <t>Pendientes</t>
        </is>
      </c>
      <c r="I1" s="12" t="inlineStr">
        <is>
          <t>Aprobados</t>
        </is>
      </c>
      <c r="J1" s="12" t="inlineStr">
        <is>
          <t>Fallidos</t>
        </is>
      </c>
      <c r="K1" s="12" t="inlineStr">
        <is>
          <t>Bloqueados</t>
        </is>
      </c>
      <c r="L1" s="12" t="inlineStr">
        <is>
          <t>Cobertura CA</t>
        </is>
      </c>
    </row>
    <row r="2">
      <c r="A2" s="14" t="inlineStr">
        <is>
          <t>US-STK-01</t>
        </is>
      </c>
      <c r="B2" s="14" t="inlineStr">
        <is>
          <t>#6</t>
        </is>
      </c>
      <c r="C2" s="14" t="inlineStr">
        <is>
          <t>Alta y gestión de artículos</t>
        </is>
      </c>
      <c r="D2" s="14" t="inlineStr">
        <is>
          <t>gonzavillalba02</t>
        </is>
      </c>
      <c r="E2" s="15">
        <f>COUNTIF('Matriz consolidada'!$B$2:$B$65,$A2)</f>
        <v/>
      </c>
      <c r="F2" s="15">
        <f>COUNTIFS('Matriz consolidada'!$B$2:$B$65,$A2,'Matriz consolidada'!$E$2:$E$65,"Camino feliz")</f>
        <v/>
      </c>
      <c r="G2" s="15">
        <f>COUNTIFS('Matriz consolidada'!$B$2:$B$65,$A2,'Matriz consolidada'!$E$2:$E$65,"Caso de error")</f>
        <v/>
      </c>
      <c r="H2" s="15">
        <f>COUNTIFS('Matriz consolidada'!$B$2:$B$65,$A2,'Matriz consolidada'!$L$2:$L$65,"Pendiente")</f>
        <v/>
      </c>
      <c r="I2" s="15">
        <f>COUNTIFS('Matriz consolidada'!$B$2:$B$65,$A2,'Matriz consolidada'!$L$2:$L$65,"Aprobado")</f>
        <v/>
      </c>
      <c r="J2" s="15">
        <f>COUNTIFS('Matriz consolidada'!$B$2:$B$65,$A2,'Matriz consolidada'!$L$2:$L$65,"Fallido")</f>
        <v/>
      </c>
      <c r="K2" s="15">
        <f>COUNTIFS('Matriz consolidada'!$B$2:$B$65,$A2,'Matriz consolidada'!$L$2:$L$65,"Bloqueado")</f>
        <v/>
      </c>
      <c r="L2" s="16">
        <f>COUNTIFS('Trazabilidad'!$A$2:$A$48,$A2,'Trazabilidad'!$E$2:$E$48,"Cubierto")/COUNTIF('Trazabilidad'!$A$2:$A$48,$A2)</f>
        <v/>
      </c>
    </row>
    <row r="3">
      <c r="A3" s="14" t="inlineStr">
        <is>
          <t>US-STK-02</t>
        </is>
      </c>
      <c r="B3" s="14" t="inlineStr">
        <is>
          <t>#7</t>
        </is>
      </c>
      <c r="C3" s="14" t="inlineStr">
        <is>
          <t>Gestión de categorías</t>
        </is>
      </c>
      <c r="D3" s="14" t="inlineStr">
        <is>
          <t>gonzavillalba02</t>
        </is>
      </c>
      <c r="E3" s="15">
        <f>COUNTIF('Matriz consolidada'!$B$2:$B$65,$A3)</f>
        <v/>
      </c>
      <c r="F3" s="15">
        <f>COUNTIFS('Matriz consolidada'!$B$2:$B$65,$A3,'Matriz consolidada'!$E$2:$E$65,"Camino feliz")</f>
        <v/>
      </c>
      <c r="G3" s="15">
        <f>COUNTIFS('Matriz consolidada'!$B$2:$B$65,$A3,'Matriz consolidada'!$E$2:$E$65,"Caso de error")</f>
        <v/>
      </c>
      <c r="H3" s="15">
        <f>COUNTIFS('Matriz consolidada'!$B$2:$B$65,$A3,'Matriz consolidada'!$L$2:$L$65,"Pendiente")</f>
        <v/>
      </c>
      <c r="I3" s="15">
        <f>COUNTIFS('Matriz consolidada'!$B$2:$B$65,$A3,'Matriz consolidada'!$L$2:$L$65,"Aprobado")</f>
        <v/>
      </c>
      <c r="J3" s="15">
        <f>COUNTIFS('Matriz consolidada'!$B$2:$B$65,$A3,'Matriz consolidada'!$L$2:$L$65,"Fallido")</f>
        <v/>
      </c>
      <c r="K3" s="15">
        <f>COUNTIFS('Matriz consolidada'!$B$2:$B$65,$A3,'Matriz consolidada'!$L$2:$L$65,"Bloqueado")</f>
        <v/>
      </c>
      <c r="L3" s="16">
        <f>COUNTIFS('Trazabilidad'!$A$2:$A$48,$A3,'Trazabilidad'!$E$2:$E$48,"Cubierto")/COUNTIF('Trazabilidad'!$A$2:$A$48,$A3)</f>
        <v/>
      </c>
    </row>
    <row r="4">
      <c r="A4" s="14" t="inlineStr">
        <is>
          <t>US-STK-03</t>
        </is>
      </c>
      <c r="B4" s="14" t="inlineStr">
        <is>
          <t>#8</t>
        </is>
      </c>
      <c r="C4" s="14" t="inlineStr">
        <is>
          <t>Gestión de marcas</t>
        </is>
      </c>
      <c r="D4" s="14" t="inlineStr">
        <is>
          <t>gonzavillalba02</t>
        </is>
      </c>
      <c r="E4" s="15">
        <f>COUNTIF('Matriz consolidada'!$B$2:$B$65,$A4)</f>
        <v/>
      </c>
      <c r="F4" s="15">
        <f>COUNTIFS('Matriz consolidada'!$B$2:$B$65,$A4,'Matriz consolidada'!$E$2:$E$65,"Camino feliz")</f>
        <v/>
      </c>
      <c r="G4" s="15">
        <f>COUNTIFS('Matriz consolidada'!$B$2:$B$65,$A4,'Matriz consolidada'!$E$2:$E$65,"Caso de error")</f>
        <v/>
      </c>
      <c r="H4" s="15">
        <f>COUNTIFS('Matriz consolidada'!$B$2:$B$65,$A4,'Matriz consolidada'!$L$2:$L$65,"Pendiente")</f>
        <v/>
      </c>
      <c r="I4" s="15">
        <f>COUNTIFS('Matriz consolidada'!$B$2:$B$65,$A4,'Matriz consolidada'!$L$2:$L$65,"Aprobado")</f>
        <v/>
      </c>
      <c r="J4" s="15">
        <f>COUNTIFS('Matriz consolidada'!$B$2:$B$65,$A4,'Matriz consolidada'!$L$2:$L$65,"Fallido")</f>
        <v/>
      </c>
      <c r="K4" s="15">
        <f>COUNTIFS('Matriz consolidada'!$B$2:$B$65,$A4,'Matriz consolidada'!$L$2:$L$65,"Bloqueado")</f>
        <v/>
      </c>
      <c r="L4" s="16">
        <f>COUNTIFS('Trazabilidad'!$A$2:$A$48,$A4,'Trazabilidad'!$E$2:$E$48,"Cubierto")/COUNTIF('Trazabilidad'!$A$2:$A$48,$A4)</f>
        <v/>
      </c>
    </row>
    <row r="5">
      <c r="A5" s="14" t="inlineStr">
        <is>
          <t>US-STK-04</t>
        </is>
      </c>
      <c r="B5" s="14" t="inlineStr">
        <is>
          <t>#9</t>
        </is>
      </c>
      <c r="C5" s="14" t="inlineStr">
        <is>
          <t>Gestión de unidades de medida</t>
        </is>
      </c>
      <c r="D5" s="14" t="inlineStr">
        <is>
          <t>gonzavillalba02</t>
        </is>
      </c>
      <c r="E5" s="15">
        <f>COUNTIF('Matriz consolidada'!$B$2:$B$65,$A5)</f>
        <v/>
      </c>
      <c r="F5" s="15">
        <f>COUNTIFS('Matriz consolidada'!$B$2:$B$65,$A5,'Matriz consolidada'!$E$2:$E$65,"Camino feliz")</f>
        <v/>
      </c>
      <c r="G5" s="15">
        <f>COUNTIFS('Matriz consolidada'!$B$2:$B$65,$A5,'Matriz consolidada'!$E$2:$E$65,"Caso de error")</f>
        <v/>
      </c>
      <c r="H5" s="15">
        <f>COUNTIFS('Matriz consolidada'!$B$2:$B$65,$A5,'Matriz consolidada'!$L$2:$L$65,"Pendiente")</f>
        <v/>
      </c>
      <c r="I5" s="15">
        <f>COUNTIFS('Matriz consolidada'!$B$2:$B$65,$A5,'Matriz consolidada'!$L$2:$L$65,"Aprobado")</f>
        <v/>
      </c>
      <c r="J5" s="15">
        <f>COUNTIFS('Matriz consolidada'!$B$2:$B$65,$A5,'Matriz consolidada'!$L$2:$L$65,"Fallido")</f>
        <v/>
      </c>
      <c r="K5" s="15">
        <f>COUNTIFS('Matriz consolidada'!$B$2:$B$65,$A5,'Matriz consolidada'!$L$2:$L$65,"Bloqueado")</f>
        <v/>
      </c>
      <c r="L5" s="16">
        <f>COUNTIFS('Trazabilidad'!$A$2:$A$48,$A5,'Trazabilidad'!$E$2:$E$48,"Cubierto")/COUNTIF('Trazabilidad'!$A$2:$A$48,$A5)</f>
        <v/>
      </c>
    </row>
    <row r="6">
      <c r="A6" s="14" t="inlineStr">
        <is>
          <t>US-STK-05</t>
        </is>
      </c>
      <c r="B6" s="14" t="inlineStr">
        <is>
          <t>#10</t>
        </is>
      </c>
      <c r="C6" s="14" t="inlineStr">
        <is>
          <t>Gestión de depósitos</t>
        </is>
      </c>
      <c r="D6" s="14" t="inlineStr">
        <is>
          <t>TomasT04</t>
        </is>
      </c>
      <c r="E6" s="15">
        <f>COUNTIF('Matriz consolidada'!$B$2:$B$65,$A6)</f>
        <v/>
      </c>
      <c r="F6" s="15">
        <f>COUNTIFS('Matriz consolidada'!$B$2:$B$65,$A6,'Matriz consolidada'!$E$2:$E$65,"Camino feliz")</f>
        <v/>
      </c>
      <c r="G6" s="15">
        <f>COUNTIFS('Matriz consolidada'!$B$2:$B$65,$A6,'Matriz consolidada'!$E$2:$E$65,"Caso de error")</f>
        <v/>
      </c>
      <c r="H6" s="15">
        <f>COUNTIFS('Matriz consolidada'!$B$2:$B$65,$A6,'Matriz consolidada'!$L$2:$L$65,"Pendiente")</f>
        <v/>
      </c>
      <c r="I6" s="15">
        <f>COUNTIFS('Matriz consolidada'!$B$2:$B$65,$A6,'Matriz consolidada'!$L$2:$L$65,"Aprobado")</f>
        <v/>
      </c>
      <c r="J6" s="15">
        <f>COUNTIFS('Matriz consolidada'!$B$2:$B$65,$A6,'Matriz consolidada'!$L$2:$L$65,"Fallido")</f>
        <v/>
      </c>
      <c r="K6" s="15">
        <f>COUNTIFS('Matriz consolidada'!$B$2:$B$65,$A6,'Matriz consolidada'!$L$2:$L$65,"Bloqueado")</f>
        <v/>
      </c>
      <c r="L6" s="16">
        <f>COUNTIFS('Trazabilidad'!$A$2:$A$48,$A6,'Trazabilidad'!$E$2:$E$48,"Cubierto")/COUNTIF('Trazabilidad'!$A$2:$A$48,$A6)</f>
        <v/>
      </c>
    </row>
    <row r="7">
      <c r="A7" s="14" t="inlineStr">
        <is>
          <t>US-STK-06</t>
        </is>
      </c>
      <c r="B7" s="14" t="inlineStr">
        <is>
          <t>#11</t>
        </is>
      </c>
      <c r="C7" s="14" t="inlineStr">
        <is>
          <t>Configuración de stock por depósito (mínimo y máximo)</t>
        </is>
      </c>
      <c r="D7" s="14" t="inlineStr">
        <is>
          <t>TomasT04</t>
        </is>
      </c>
      <c r="E7" s="15">
        <f>COUNTIF('Matriz consolidada'!$B$2:$B$65,$A7)</f>
        <v/>
      </c>
      <c r="F7" s="15">
        <f>COUNTIFS('Matriz consolidada'!$B$2:$B$65,$A7,'Matriz consolidada'!$E$2:$E$65,"Camino feliz")</f>
        <v/>
      </c>
      <c r="G7" s="15">
        <f>COUNTIFS('Matriz consolidada'!$B$2:$B$65,$A7,'Matriz consolidada'!$E$2:$E$65,"Caso de error")</f>
        <v/>
      </c>
      <c r="H7" s="15">
        <f>COUNTIFS('Matriz consolidada'!$B$2:$B$65,$A7,'Matriz consolidada'!$L$2:$L$65,"Pendiente")</f>
        <v/>
      </c>
      <c r="I7" s="15">
        <f>COUNTIFS('Matriz consolidada'!$B$2:$B$65,$A7,'Matriz consolidada'!$L$2:$L$65,"Aprobado")</f>
        <v/>
      </c>
      <c r="J7" s="15">
        <f>COUNTIFS('Matriz consolidada'!$B$2:$B$65,$A7,'Matriz consolidada'!$L$2:$L$65,"Fallido")</f>
        <v/>
      </c>
      <c r="K7" s="15">
        <f>COUNTIFS('Matriz consolidada'!$B$2:$B$65,$A7,'Matriz consolidada'!$L$2:$L$65,"Bloqueado")</f>
        <v/>
      </c>
      <c r="L7" s="16">
        <f>COUNTIFS('Trazabilidad'!$A$2:$A$48,$A7,'Trazabilidad'!$E$2:$E$48,"Cubierto")/COUNTIF('Trazabilidad'!$A$2:$A$48,$A7)</f>
        <v/>
      </c>
    </row>
    <row r="8">
      <c r="A8" s="14" t="inlineStr">
        <is>
          <t>US-STK-07</t>
        </is>
      </c>
      <c r="B8" s="14" t="inlineStr">
        <is>
          <t>#12</t>
        </is>
      </c>
      <c r="C8" s="14" t="inlineStr">
        <is>
          <t>Consulta de stock en tiempo real</t>
        </is>
      </c>
      <c r="D8" s="14" t="inlineStr">
        <is>
          <t>sanz05</t>
        </is>
      </c>
      <c r="E8" s="15">
        <f>COUNTIF('Matriz consolidada'!$B$2:$B$65,$A8)</f>
        <v/>
      </c>
      <c r="F8" s="15">
        <f>COUNTIFS('Matriz consolidada'!$B$2:$B$65,$A8,'Matriz consolidada'!$E$2:$E$65,"Camino feliz")</f>
        <v/>
      </c>
      <c r="G8" s="15">
        <f>COUNTIFS('Matriz consolidada'!$B$2:$B$65,$A8,'Matriz consolidada'!$E$2:$E$65,"Caso de error")</f>
        <v/>
      </c>
      <c r="H8" s="15">
        <f>COUNTIFS('Matriz consolidada'!$B$2:$B$65,$A8,'Matriz consolidada'!$L$2:$L$65,"Pendiente")</f>
        <v/>
      </c>
      <c r="I8" s="15">
        <f>COUNTIFS('Matriz consolidada'!$B$2:$B$65,$A8,'Matriz consolidada'!$L$2:$L$65,"Aprobado")</f>
        <v/>
      </c>
      <c r="J8" s="15">
        <f>COUNTIFS('Matriz consolidada'!$B$2:$B$65,$A8,'Matriz consolidada'!$L$2:$L$65,"Fallido")</f>
        <v/>
      </c>
      <c r="K8" s="15">
        <f>COUNTIFS('Matriz consolidada'!$B$2:$B$65,$A8,'Matriz consolidada'!$L$2:$L$65,"Bloqueado")</f>
        <v/>
      </c>
      <c r="L8" s="16">
        <f>COUNTIFS('Trazabilidad'!$A$2:$A$48,$A8,'Trazabilidad'!$E$2:$E$48,"Cubierto")/COUNTIF('Trazabilidad'!$A$2:$A$48,$A8)</f>
        <v/>
      </c>
    </row>
    <row r="9">
      <c r="A9" s="14" t="inlineStr">
        <is>
          <t>US-STK-08</t>
        </is>
      </c>
      <c r="B9" s="14" t="inlineStr">
        <is>
          <t>#13</t>
        </is>
      </c>
      <c r="C9" s="14" t="inlineStr">
        <is>
          <t>Registro de movimientos de stock</t>
        </is>
      </c>
      <c r="D9" s="14" t="inlineStr">
        <is>
          <t>mateoquartin</t>
        </is>
      </c>
      <c r="E9" s="15">
        <f>COUNTIF('Matriz consolidada'!$B$2:$B$65,$A9)</f>
        <v/>
      </c>
      <c r="F9" s="15">
        <f>COUNTIFS('Matriz consolidada'!$B$2:$B$65,$A9,'Matriz consolidada'!$E$2:$E$65,"Camino feliz")</f>
        <v/>
      </c>
      <c r="G9" s="15">
        <f>COUNTIFS('Matriz consolidada'!$B$2:$B$65,$A9,'Matriz consolidada'!$E$2:$E$65,"Caso de error")</f>
        <v/>
      </c>
      <c r="H9" s="15">
        <f>COUNTIFS('Matriz consolidada'!$B$2:$B$65,$A9,'Matriz consolidada'!$L$2:$L$65,"Pendiente")</f>
        <v/>
      </c>
      <c r="I9" s="15">
        <f>COUNTIFS('Matriz consolidada'!$B$2:$B$65,$A9,'Matriz consolidada'!$L$2:$L$65,"Aprobado")</f>
        <v/>
      </c>
      <c r="J9" s="15">
        <f>COUNTIFS('Matriz consolidada'!$B$2:$B$65,$A9,'Matriz consolidada'!$L$2:$L$65,"Fallido")</f>
        <v/>
      </c>
      <c r="K9" s="15">
        <f>COUNTIFS('Matriz consolidada'!$B$2:$B$65,$A9,'Matriz consolidada'!$L$2:$L$65,"Bloqueado")</f>
        <v/>
      </c>
      <c r="L9" s="16">
        <f>COUNTIFS('Trazabilidad'!$A$2:$A$48,$A9,'Trazabilidad'!$E$2:$E$48,"Cubierto")/COUNTIF('Trazabilidad'!$A$2:$A$48,$A9)</f>
        <v/>
      </c>
    </row>
    <row r="10">
      <c r="A10" s="14" t="inlineStr">
        <is>
          <t>US-STK-09</t>
        </is>
      </c>
      <c r="B10" s="14" t="inlineStr">
        <is>
          <t>#15</t>
        </is>
      </c>
      <c r="C10" s="14" t="inlineStr">
        <is>
          <t>Confirmación de recepción de mercadería</t>
        </is>
      </c>
      <c r="D10" s="14" t="inlineStr">
        <is>
          <t>mateoquartin</t>
        </is>
      </c>
      <c r="E10" s="15">
        <f>COUNTIF('Matriz consolidada'!$B$2:$B$65,$A10)</f>
        <v/>
      </c>
      <c r="F10" s="15">
        <f>COUNTIFS('Matriz consolidada'!$B$2:$B$65,$A10,'Matriz consolidada'!$E$2:$E$65,"Camino feliz")</f>
        <v/>
      </c>
      <c r="G10" s="15">
        <f>COUNTIFS('Matriz consolidada'!$B$2:$B$65,$A10,'Matriz consolidada'!$E$2:$E$65,"Caso de error")</f>
        <v/>
      </c>
      <c r="H10" s="15">
        <f>COUNTIFS('Matriz consolidada'!$B$2:$B$65,$A10,'Matriz consolidada'!$L$2:$L$65,"Pendiente")</f>
        <v/>
      </c>
      <c r="I10" s="15">
        <f>COUNTIFS('Matriz consolidada'!$B$2:$B$65,$A10,'Matriz consolidada'!$L$2:$L$65,"Aprobado")</f>
        <v/>
      </c>
      <c r="J10" s="15">
        <f>COUNTIFS('Matriz consolidada'!$B$2:$B$65,$A10,'Matriz consolidada'!$L$2:$L$65,"Fallido")</f>
        <v/>
      </c>
      <c r="K10" s="15">
        <f>COUNTIFS('Matriz consolidada'!$B$2:$B$65,$A10,'Matriz consolidada'!$L$2:$L$65,"Bloqueado")</f>
        <v/>
      </c>
      <c r="L10" s="16">
        <f>COUNTIFS('Trazabilidad'!$A$2:$A$48,$A10,'Trazabilidad'!$E$2:$E$48,"Cubierto")/COUNTIF('Trazabilidad'!$A$2:$A$48,$A10)</f>
        <v/>
      </c>
    </row>
    <row r="11">
      <c r="A11" s="14" t="inlineStr">
        <is>
          <t>US-STK-13</t>
        </is>
      </c>
      <c r="B11" s="14" t="inlineStr">
        <is>
          <t>#16</t>
        </is>
      </c>
      <c r="C11" s="14" t="inlineStr">
        <is>
          <t>Valorización de inventario y costo medio ponderado</t>
        </is>
      </c>
      <c r="D11" s="14" t="inlineStr">
        <is>
          <t>carmelaserrano</t>
        </is>
      </c>
      <c r="E11" s="15">
        <f>COUNTIF('Matriz consolidada'!$B$2:$B$65,$A11)</f>
        <v/>
      </c>
      <c r="F11" s="15">
        <f>COUNTIFS('Matriz consolidada'!$B$2:$B$65,$A11,'Matriz consolidada'!$E$2:$E$65,"Camino feliz")</f>
        <v/>
      </c>
      <c r="G11" s="15">
        <f>COUNTIFS('Matriz consolidada'!$B$2:$B$65,$A11,'Matriz consolidada'!$E$2:$E$65,"Caso de error")</f>
        <v/>
      </c>
      <c r="H11" s="15">
        <f>COUNTIFS('Matriz consolidada'!$B$2:$B$65,$A11,'Matriz consolidada'!$L$2:$L$65,"Pendiente")</f>
        <v/>
      </c>
      <c r="I11" s="15">
        <f>COUNTIFS('Matriz consolidada'!$B$2:$B$65,$A11,'Matriz consolidada'!$L$2:$L$65,"Aprobado")</f>
        <v/>
      </c>
      <c r="J11" s="15">
        <f>COUNTIFS('Matriz consolidada'!$B$2:$B$65,$A11,'Matriz consolidada'!$L$2:$L$65,"Fallido")</f>
        <v/>
      </c>
      <c r="K11" s="15">
        <f>COUNTIFS('Matriz consolidada'!$B$2:$B$65,$A11,'Matriz consolidada'!$L$2:$L$65,"Bloqueado")</f>
        <v/>
      </c>
      <c r="L11" s="16">
        <f>COUNTIFS('Trazabilidad'!$A$2:$A$48,$A11,'Trazabilidad'!$E$2:$E$48,"Cubierto")/COUNTIF('Trazabilidad'!$A$2:$A$48,$A11)</f>
        <v/>
      </c>
    </row>
    <row r="12">
      <c r="A12" s="14" t="inlineStr">
        <is>
          <t>US-STK-15</t>
        </is>
      </c>
      <c r="B12" s="14" t="inlineStr">
        <is>
          <t>#17</t>
        </is>
      </c>
      <c r="C12" s="14" t="inlineStr">
        <is>
          <t>Alertas de stock mínimo (in-app y email)</t>
        </is>
      </c>
      <c r="D12" s="14" t="inlineStr">
        <is>
          <t>carmelaserrano</t>
        </is>
      </c>
      <c r="E12" s="15">
        <f>COUNTIF('Matriz consolidada'!$B$2:$B$65,$A12)</f>
        <v/>
      </c>
      <c r="F12" s="15">
        <f>COUNTIFS('Matriz consolidada'!$B$2:$B$65,$A12,'Matriz consolidada'!$E$2:$E$65,"Camino feliz")</f>
        <v/>
      </c>
      <c r="G12" s="15">
        <f>COUNTIFS('Matriz consolidada'!$B$2:$B$65,$A12,'Matriz consolidada'!$E$2:$E$65,"Caso de error")</f>
        <v/>
      </c>
      <c r="H12" s="15">
        <f>COUNTIFS('Matriz consolidada'!$B$2:$B$65,$A12,'Matriz consolidada'!$L$2:$L$65,"Pendiente")</f>
        <v/>
      </c>
      <c r="I12" s="15">
        <f>COUNTIFS('Matriz consolidada'!$B$2:$B$65,$A12,'Matriz consolidada'!$L$2:$L$65,"Aprobado")</f>
        <v/>
      </c>
      <c r="J12" s="15">
        <f>COUNTIFS('Matriz consolidada'!$B$2:$B$65,$A12,'Matriz consolidada'!$L$2:$L$65,"Fallido")</f>
        <v/>
      </c>
      <c r="K12" s="15">
        <f>COUNTIFS('Matriz consolidada'!$B$2:$B$65,$A12,'Matriz consolidada'!$L$2:$L$65,"Bloqueado")</f>
        <v/>
      </c>
      <c r="L12" s="16">
        <f>COUNTIFS('Trazabilidad'!$A$2:$A$48,$A12,'Trazabilidad'!$E$2:$E$48,"Cubierto")/COUNTIF('Trazabilidad'!$A$2:$A$48,$A12)</f>
        <v/>
      </c>
    </row>
    <row r="13">
      <c r="A13" s="17" t="inlineStr">
        <is>
          <t>TOTAL</t>
        </is>
      </c>
      <c r="B13" s="10" t="n"/>
      <c r="C13" s="10" t="n"/>
      <c r="D13" s="10" t="n"/>
      <c r="E13" s="17">
        <f>SUM(E2:E12)</f>
        <v/>
      </c>
      <c r="F13" s="17">
        <f>SUM(F2:F12)</f>
        <v/>
      </c>
      <c r="G13" s="17">
        <f>SUM(G2:G12)</f>
        <v/>
      </c>
      <c r="H13" s="17">
        <f>SUM(H2:H12)</f>
        <v/>
      </c>
      <c r="I13" s="17">
        <f>SUM(I2:I12)</f>
        <v/>
      </c>
      <c r="J13" s="17">
        <f>SUM(J2:J12)</f>
        <v/>
      </c>
      <c r="K13" s="17">
        <f>SUM(K2:K12)</f>
        <v/>
      </c>
      <c r="L13" s="18">
        <f>COUNTIF('Trazabilidad'!$E$2:$E$48,"Cubierto")/COUNTA('Trazabilidad'!$E$2:$E$48)</f>
        <v/>
      </c>
    </row>
  </sheetData>
  <conditionalFormatting sqref="L2:L13">
    <cfRule type="cellIs" priority="1" operator="equal" dxfId="0">
      <formula>1</formula>
    </cfRule>
    <cfRule type="cellIs" priority="2" operator="lessThan" dxfId="1">
      <formula>1</formula>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46" customWidth="1" min="3" max="3"/>
    <col width="30" customWidth="1" min="4" max="4"/>
    <col width="13" customWidth="1" min="5" max="5"/>
  </cols>
  <sheetData>
    <row r="1" ht="32" customHeight="1">
      <c r="A1" s="12" t="inlineStr">
        <is>
          <t>Historia</t>
        </is>
      </c>
      <c r="B1" s="12" t="inlineStr">
        <is>
          <t>Criterio de aceptación</t>
        </is>
      </c>
      <c r="C1" s="12" t="inlineStr">
        <is>
          <t>Descripción</t>
        </is>
      </c>
      <c r="D1" s="12" t="inlineStr">
        <is>
          <t>Casos de prueba</t>
        </is>
      </c>
      <c r="E1" s="12" t="inlineStr">
        <is>
          <t>Cobertura</t>
        </is>
      </c>
    </row>
    <row r="2" ht="30" customHeight="1">
      <c r="A2" s="13" t="inlineStr">
        <is>
          <t>US-STK-01</t>
        </is>
      </c>
      <c r="B2" s="13" t="inlineStr">
        <is>
          <t>CA-01</t>
        </is>
      </c>
      <c r="C2" s="13" t="inlineStr">
        <is>
          <t>El sistema genera un ID único</t>
        </is>
      </c>
      <c r="D2" s="13" t="inlineStr">
        <is>
          <t>TC-STK-01-01</t>
        </is>
      </c>
      <c r="E2" s="13">
        <f>IF(D2="(sin casos)","No cubierto","Cubierto")</f>
        <v/>
      </c>
    </row>
    <row r="3" ht="30" customHeight="1">
      <c r="A3" s="13" t="inlineStr">
        <is>
          <t>US-STK-01</t>
        </is>
      </c>
      <c r="B3" s="13" t="inlineStr">
        <is>
          <t>CA-02</t>
        </is>
      </c>
      <c r="C3" s="13" t="inlineStr">
        <is>
          <t>El nombre es obligatorio</t>
        </is>
      </c>
      <c r="D3" s="13" t="inlineStr">
        <is>
          <t>TC-STK-01-01, TC-STK-01-03</t>
        </is>
      </c>
      <c r="E3" s="13">
        <f>IF(D3="(sin casos)","No cubierto","Cubierto")</f>
        <v/>
      </c>
    </row>
    <row r="4" ht="30" customHeight="1">
      <c r="A4" s="13" t="inlineStr">
        <is>
          <t>US-STK-01</t>
        </is>
      </c>
      <c r="B4" s="13" t="inlineStr">
        <is>
          <t>CA-03</t>
        </is>
      </c>
      <c r="C4" s="13" t="inlineStr">
        <is>
          <t>Debe seleccionarse una categoría, marca y unidad de medida existentes y activas</t>
        </is>
      </c>
      <c r="D4" s="13" t="inlineStr">
        <is>
          <t>TC-STK-01-01, TC-STK-01-04, TC-STK-01-06</t>
        </is>
      </c>
      <c r="E4" s="13">
        <f>IF(D4="(sin casos)","No cubierto","Cubierto")</f>
        <v/>
      </c>
    </row>
    <row r="5" ht="30" customHeight="1">
      <c r="A5" s="13" t="inlineStr">
        <is>
          <t>US-STK-01</t>
        </is>
      </c>
      <c r="B5" s="13" t="inlineStr">
        <is>
          <t>CA-04</t>
        </is>
      </c>
      <c r="C5" s="13" t="inlineStr">
        <is>
          <t>El código de barras no puede estar duplicado</t>
        </is>
      </c>
      <c r="D5" s="13" t="inlineStr">
        <is>
          <t>TC-STK-01-01, TC-STK-01-05</t>
        </is>
      </c>
      <c r="E5" s="13">
        <f>IF(D5="(sin casos)","No cubierto","Cubierto")</f>
        <v/>
      </c>
    </row>
    <row r="6" ht="30" customHeight="1">
      <c r="A6" s="13" t="inlineStr">
        <is>
          <t>US-STK-01</t>
        </is>
      </c>
      <c r="B6" s="13" t="inlineStr">
        <is>
          <t>CA-05</t>
        </is>
      </c>
      <c r="C6" s="13" t="inlineStr">
        <is>
          <t>El estado es Activo o Inactivo</t>
        </is>
      </c>
      <c r="D6" s="13" t="inlineStr">
        <is>
          <t>TC-STK-01-02</t>
        </is>
      </c>
      <c r="E6" s="13">
        <f>IF(D6="(sin casos)","No cubierto","Cubierto")</f>
        <v/>
      </c>
    </row>
    <row r="7" ht="30" customHeight="1">
      <c r="A7" s="13" t="inlineStr">
        <is>
          <t>US-STK-02</t>
        </is>
      </c>
      <c r="B7" s="13" t="inlineStr">
        <is>
          <t>CA-01</t>
        </is>
      </c>
      <c r="C7" s="13" t="inlineStr">
        <is>
          <t>No pueden existir categorías duplicadas (por nombre)</t>
        </is>
      </c>
      <c r="D7" s="13" t="inlineStr">
        <is>
          <t>TC-STK-02-01, TC-STK-02-04</t>
        </is>
      </c>
      <c r="E7" s="13">
        <f>IF(D7="(sin casos)","No cubierto","Cubierto")</f>
        <v/>
      </c>
    </row>
    <row r="8" ht="30" customHeight="1">
      <c r="A8" s="13" t="inlineStr">
        <is>
          <t>US-STK-02</t>
        </is>
      </c>
      <c r="B8" s="13" t="inlineStr">
        <is>
          <t>CA-02</t>
        </is>
      </c>
      <c r="C8" s="13" t="inlineStr">
        <is>
          <t>El nombre es obligatorio</t>
        </is>
      </c>
      <c r="D8" s="13" t="inlineStr">
        <is>
          <t>TC-STK-02-01, TC-STK-02-03</t>
        </is>
      </c>
      <c r="E8" s="13">
        <f>IF(D8="(sin casos)","No cubierto","Cubierto")</f>
        <v/>
      </c>
    </row>
    <row r="9" ht="30" customHeight="1">
      <c r="A9" s="13" t="inlineStr">
        <is>
          <t>US-STK-02</t>
        </is>
      </c>
      <c r="B9" s="13" t="inlineStr">
        <is>
          <t>CA-03</t>
        </is>
      </c>
      <c r="C9" s="13" t="inlineStr">
        <is>
          <t>No puede eliminarse una categoría asociada a artículos</t>
        </is>
      </c>
      <c r="D9" s="13" t="inlineStr">
        <is>
          <t>TC-STK-02-02, TC-STK-02-05</t>
        </is>
      </c>
      <c r="E9" s="13">
        <f>IF(D9="(sin casos)","No cubierto","Cubierto")</f>
        <v/>
      </c>
    </row>
    <row r="10" ht="30" customHeight="1">
      <c r="A10" s="13" t="inlineStr">
        <is>
          <t>US-STK-03</t>
        </is>
      </c>
      <c r="B10" s="13" t="inlineStr">
        <is>
          <t>CA-01</t>
        </is>
      </c>
      <c r="C10" s="13" t="inlineStr">
        <is>
          <t>No pueden existir marcas duplicadas</t>
        </is>
      </c>
      <c r="D10" s="13" t="inlineStr">
        <is>
          <t>TC-STK-03-01, TC-STK-03-04</t>
        </is>
      </c>
      <c r="E10" s="13">
        <f>IF(D10="(sin casos)","No cubierto","Cubierto")</f>
        <v/>
      </c>
    </row>
    <row r="11" ht="30" customHeight="1">
      <c r="A11" s="13" t="inlineStr">
        <is>
          <t>US-STK-03</t>
        </is>
      </c>
      <c r="B11" s="13" t="inlineStr">
        <is>
          <t>CA-02</t>
        </is>
      </c>
      <c r="C11" s="13" t="inlineStr">
        <is>
          <t>El nombre es obligatorio</t>
        </is>
      </c>
      <c r="D11" s="13" t="inlineStr">
        <is>
          <t>TC-STK-03-01, TC-STK-03-03</t>
        </is>
      </c>
      <c r="E11" s="13">
        <f>IF(D11="(sin casos)","No cubierto","Cubierto")</f>
        <v/>
      </c>
    </row>
    <row r="12" ht="30" customHeight="1">
      <c r="A12" s="13" t="inlineStr">
        <is>
          <t>US-STK-03</t>
        </is>
      </c>
      <c r="B12" s="13" t="inlineStr">
        <is>
          <t>CA-03</t>
        </is>
      </c>
      <c r="C12" s="13" t="inlineStr">
        <is>
          <t>No puede eliminarse una marca asociada a artículos</t>
        </is>
      </c>
      <c r="D12" s="13" t="inlineStr">
        <is>
          <t>TC-STK-03-02, TC-STK-03-05</t>
        </is>
      </c>
      <c r="E12" s="13">
        <f>IF(D12="(sin casos)","No cubierto","Cubierto")</f>
        <v/>
      </c>
    </row>
    <row r="13" ht="30" customHeight="1">
      <c r="A13" s="13" t="inlineStr">
        <is>
          <t>US-STK-04</t>
        </is>
      </c>
      <c r="B13" s="13" t="inlineStr">
        <is>
          <t>CA-01</t>
        </is>
      </c>
      <c r="C13" s="13" t="inlineStr">
        <is>
          <t>No pueden existir unidades duplicadas</t>
        </is>
      </c>
      <c r="D13" s="13" t="inlineStr">
        <is>
          <t>TC-STK-04-01, TC-STK-04-03</t>
        </is>
      </c>
      <c r="E13" s="13">
        <f>IF(D13="(sin casos)","No cubierto","Cubierto")</f>
        <v/>
      </c>
    </row>
    <row r="14" ht="30" customHeight="1">
      <c r="A14" s="13" t="inlineStr">
        <is>
          <t>US-STK-04</t>
        </is>
      </c>
      <c r="B14" s="13" t="inlineStr">
        <is>
          <t>CA-02</t>
        </is>
      </c>
      <c r="C14" s="13" t="inlineStr">
        <is>
          <t>El nombre es obligatorio</t>
        </is>
      </c>
      <c r="D14" s="13" t="inlineStr">
        <is>
          <t>TC-STK-04-01</t>
        </is>
      </c>
      <c r="E14" s="13">
        <f>IF(D14="(sin casos)","No cubierto","Cubierto")</f>
        <v/>
      </c>
    </row>
    <row r="15" ht="30" customHeight="1">
      <c r="A15" s="13" t="inlineStr">
        <is>
          <t>US-STK-04</t>
        </is>
      </c>
      <c r="B15" s="13" t="inlineStr">
        <is>
          <t>CA-03</t>
        </is>
      </c>
      <c r="C15" s="13" t="inlineStr">
        <is>
          <t>Sólo pueden seleccionarse unidades activas</t>
        </is>
      </c>
      <c r="D15" s="13" t="inlineStr">
        <is>
          <t>TC-STK-04-02</t>
        </is>
      </c>
      <c r="E15" s="13">
        <f>IF(D15="(sin casos)","No cubierto","Cubierto")</f>
        <v/>
      </c>
    </row>
    <row r="16" ht="30" customHeight="1">
      <c r="A16" s="13" t="inlineStr">
        <is>
          <t>US-STK-04</t>
        </is>
      </c>
      <c r="B16" s="13" t="inlineStr">
        <is>
          <t>CA-04</t>
        </is>
      </c>
      <c r="C16" s="13" t="inlineStr">
        <is>
          <t>Se registran los factores de conversión (RF-PROD-01)</t>
        </is>
      </c>
      <c r="D16" s="13" t="inlineStr">
        <is>
          <t>TC-STK-04-01, TC-STK-04-04, TC-STK-04-05</t>
        </is>
      </c>
      <c r="E16" s="13">
        <f>IF(D16="(sin casos)","No cubierto","Cubierto")</f>
        <v/>
      </c>
    </row>
    <row r="17" ht="30" customHeight="1">
      <c r="A17" s="13" t="inlineStr">
        <is>
          <t>US-STK-05</t>
        </is>
      </c>
      <c r="B17" s="13" t="inlineStr">
        <is>
          <t>CA-01</t>
        </is>
      </c>
      <c r="C17" s="13" t="inlineStr">
        <is>
          <t>El nombre del depósito no puede repetirse</t>
        </is>
      </c>
      <c r="D17" s="13" t="inlineStr">
        <is>
          <t>TC-STK-05-01, TC-STK-05-04</t>
        </is>
      </c>
      <c r="E17" s="13">
        <f>IF(D17="(sin casos)","No cubierto","Cubierto")</f>
        <v/>
      </c>
    </row>
    <row r="18" ht="30" customHeight="1">
      <c r="A18" s="13" t="inlineStr">
        <is>
          <t>US-STK-05</t>
        </is>
      </c>
      <c r="B18" s="13" t="inlineStr">
        <is>
          <t>CA-02</t>
        </is>
      </c>
      <c r="C18" s="13" t="inlineStr">
        <is>
          <t>Dirección y localidad son obligatorias</t>
        </is>
      </c>
      <c r="D18" s="13" t="inlineStr">
        <is>
          <t>TC-STK-05-01, TC-STK-05-05</t>
        </is>
      </c>
      <c r="E18" s="13">
        <f>IF(D18="(sin casos)","No cubierto","Cubierto")</f>
        <v/>
      </c>
    </row>
    <row r="19" ht="30" customHeight="1">
      <c r="A19" s="13" t="inlineStr">
        <is>
          <t>US-STK-05</t>
        </is>
      </c>
      <c r="B19" s="13" t="inlineStr">
        <is>
          <t>CA-03</t>
        </is>
      </c>
      <c r="C19" s="13" t="inlineStr">
        <is>
          <t>Debe indicarse el tipo de depósito y la capacidad máxima</t>
        </is>
      </c>
      <c r="D19" s="13" t="inlineStr">
        <is>
          <t>TC-STK-05-01, TC-STK-05-05</t>
        </is>
      </c>
      <c r="E19" s="13">
        <f>IF(D19="(sin casos)","No cubierto","Cubierto")</f>
        <v/>
      </c>
    </row>
    <row r="20" ht="30" customHeight="1">
      <c r="A20" s="13" t="inlineStr">
        <is>
          <t>US-STK-05</t>
        </is>
      </c>
      <c r="B20" s="13" t="inlineStr">
        <is>
          <t>CA-04</t>
        </is>
      </c>
      <c r="C20" s="13" t="inlineStr">
        <is>
          <t>No puede eliminarse un depósito con stock asociado</t>
        </is>
      </c>
      <c r="D20" s="13" t="inlineStr">
        <is>
          <t>TC-STK-05-02, TC-STK-05-06</t>
        </is>
      </c>
      <c r="E20" s="13">
        <f>IF(D20="(sin casos)","No cubierto","Cubierto")</f>
        <v/>
      </c>
    </row>
    <row r="21" ht="30" customHeight="1">
      <c r="A21" s="13" t="inlineStr">
        <is>
          <t>US-STK-05</t>
        </is>
      </c>
      <c r="B21" s="13" t="inlineStr">
        <is>
          <t>CA-05</t>
        </is>
      </c>
      <c r="C21" s="13" t="inlineStr">
        <is>
          <t>Quedan dados de alta Casa Central, Depósito A y Depósito B</t>
        </is>
      </c>
      <c r="D21" s="13" t="inlineStr">
        <is>
          <t>TC-STK-05-03</t>
        </is>
      </c>
      <c r="E21" s="13">
        <f>IF(D21="(sin casos)","No cubierto","Cubierto")</f>
        <v/>
      </c>
    </row>
    <row r="22" ht="30" customHeight="1">
      <c r="A22" s="13" t="inlineStr">
        <is>
          <t>US-STK-06</t>
        </is>
      </c>
      <c r="B22" s="13" t="inlineStr">
        <is>
          <t>CA-01</t>
        </is>
      </c>
      <c r="C22" s="13" t="inlineStr">
        <is>
          <t>La cantidad de stock no es editable manualmente desde esta pantalla</t>
        </is>
      </c>
      <c r="D22" s="13" t="inlineStr">
        <is>
          <t>TC-STK-06-02</t>
        </is>
      </c>
      <c r="E22" s="13">
        <f>IF(D22="(sin casos)","No cubierto","Cubierto")</f>
        <v/>
      </c>
    </row>
    <row r="23" ht="30" customHeight="1">
      <c r="A23" s="13" t="inlineStr">
        <is>
          <t>US-STK-06</t>
        </is>
      </c>
      <c r="B23" s="13" t="inlineStr">
        <is>
          <t>CA-02</t>
        </is>
      </c>
      <c r="C23" s="13" t="inlineStr">
        <is>
          <t>Puede configurarse stock mínimo y máximo por artículo/depósito</t>
        </is>
      </c>
      <c r="D23" s="13" t="inlineStr">
        <is>
          <t>TC-STK-06-01, TC-STK-06-04, TC-STK-06-05, TC-STK-06-07</t>
        </is>
      </c>
      <c r="E23" s="13">
        <f>IF(D23="(sin casos)","No cubierto","Cubierto")</f>
        <v/>
      </c>
    </row>
    <row r="24" ht="30" customHeight="1">
      <c r="A24" s="13" t="inlineStr">
        <is>
          <t>US-STK-06</t>
        </is>
      </c>
      <c r="B24" s="13" t="inlineStr">
        <is>
          <t>CA-03</t>
        </is>
      </c>
      <c r="C24" s="13" t="inlineStr">
        <is>
          <t>El sistema alerta cuando el stock cae por debajo del mínimo</t>
        </is>
      </c>
      <c r="D24" s="13" t="inlineStr">
        <is>
          <t>TC-STK-06-03</t>
        </is>
      </c>
      <c r="E24" s="13">
        <f>IF(D24="(sin casos)","No cubierto","Cubierto")</f>
        <v/>
      </c>
    </row>
    <row r="25" ht="30" customHeight="1">
      <c r="A25" s="13" t="inlineStr">
        <is>
          <t>US-STK-06</t>
        </is>
      </c>
      <c r="B25" s="13" t="inlineStr">
        <is>
          <t>CA-04</t>
        </is>
      </c>
      <c r="C25" s="13" t="inlineStr">
        <is>
          <t>Cada registro vincula un artículo con un depósito</t>
        </is>
      </c>
      <c r="D25" s="13" t="inlineStr">
        <is>
          <t>TC-STK-06-01, TC-STK-06-06, TC-STK-06-07</t>
        </is>
      </c>
      <c r="E25" s="13">
        <f>IF(D25="(sin casos)","No cubierto","Cubierto")</f>
        <v/>
      </c>
    </row>
    <row r="26" ht="30" customHeight="1">
      <c r="A26" s="13" t="inlineStr">
        <is>
          <t>US-STK-07</t>
        </is>
      </c>
      <c r="B26" s="13" t="inlineStr">
        <is>
          <t>CA-01</t>
        </is>
      </c>
      <c r="C26" s="13" t="inlineStr">
        <is>
          <t>Disponible = físico − comprometido (estrictamente)</t>
        </is>
      </c>
      <c r="D26" s="13" t="inlineStr">
        <is>
          <t>TC-STK-07-01</t>
        </is>
      </c>
      <c r="E26" s="13">
        <f>IF(D26="(sin casos)","No cubierto","Cubierto")</f>
        <v/>
      </c>
    </row>
    <row r="27" ht="30" customHeight="1">
      <c r="A27" s="13" t="inlineStr">
        <is>
          <t>US-STK-07</t>
        </is>
      </c>
      <c r="B27" s="13" t="inlineStr">
        <is>
          <t>CA-02</t>
        </is>
      </c>
      <c r="C27" s="13" t="inlineStr">
        <is>
          <t>Consultable por artículo y por depósito, con búsqueda y filtros</t>
        </is>
      </c>
      <c r="D27" s="13" t="inlineStr">
        <is>
          <t>TC-STK-07-02, TC-STK-07-06, TC-STK-07-07</t>
        </is>
      </c>
      <c r="E27" s="13">
        <f>IF(D27="(sin casos)","No cubierto","Cubierto")</f>
        <v/>
      </c>
    </row>
    <row r="28" ht="30" customHeight="1">
      <c r="A28" s="13" t="inlineStr">
        <is>
          <t>US-STK-07</t>
        </is>
      </c>
      <c r="B28" s="13" t="inlineStr">
        <is>
          <t>CA-03</t>
        </is>
      </c>
      <c r="C28" s="13" t="inlineStr">
        <is>
          <t>Accesible desde Ventas, Compras, E-commerce y Chatbot</t>
        </is>
      </c>
      <c r="D28" s="13" t="inlineStr">
        <is>
          <t>TC-STK-07-05</t>
        </is>
      </c>
      <c r="E28" s="13">
        <f>IF(D28="(sin casos)","No cubierto","Cubierto")</f>
        <v/>
      </c>
    </row>
    <row r="29" ht="30" customHeight="1">
      <c r="A29" s="13" t="inlineStr">
        <is>
          <t>US-STK-07</t>
        </is>
      </c>
      <c r="B29" s="13" t="inlineStr">
        <is>
          <t>CA-04</t>
        </is>
      </c>
      <c r="C29" s="13" t="inlineStr">
        <is>
          <t>Tiempo de respuesta &lt; 500 ms en condiciones normales</t>
        </is>
      </c>
      <c r="D29" s="13" t="inlineStr">
        <is>
          <t>TC-STK-07-03</t>
        </is>
      </c>
      <c r="E29" s="13">
        <f>IF(D29="(sin casos)","No cubierto","Cubierto")</f>
        <v/>
      </c>
    </row>
    <row r="30" ht="30" customHeight="1">
      <c r="A30" s="13" t="inlineStr">
        <is>
          <t>US-STK-07</t>
        </is>
      </c>
      <c r="B30" s="13" t="inlineStr">
        <is>
          <t>CA-05</t>
        </is>
      </c>
      <c r="C30" s="13" t="inlineStr">
        <is>
          <t>La información se actualiza tras cada movimiento confirmado</t>
        </is>
      </c>
      <c r="D30" s="13" t="inlineStr">
        <is>
          <t>TC-STK-07-04</t>
        </is>
      </c>
      <c r="E30" s="13">
        <f>IF(D30="(sin casos)","No cubierto","Cubierto")</f>
        <v/>
      </c>
    </row>
    <row r="31" ht="30" customHeight="1">
      <c r="A31" s="13" t="inlineStr">
        <is>
          <t>US-STK-08</t>
        </is>
      </c>
      <c r="B31" s="13" t="inlineStr">
        <is>
          <t>CA-01</t>
        </is>
      </c>
      <c r="C31" s="13" t="inlineStr">
        <is>
          <t>Se registran fecha, hora y usuario</t>
        </is>
      </c>
      <c r="D31" s="13" t="inlineStr">
        <is>
          <t>TC-STK-08-01</t>
        </is>
      </c>
      <c r="E31" s="13">
        <f>IF(D31="(sin casos)","No cubierto","Cubierto")</f>
        <v/>
      </c>
    </row>
    <row r="32" ht="30" customHeight="1">
      <c r="A32" s="13" t="inlineStr">
        <is>
          <t>US-STK-08</t>
        </is>
      </c>
      <c r="B32" s="13" t="inlineStr">
        <is>
          <t>CA-02</t>
        </is>
      </c>
      <c r="C32" s="13" t="inlineStr">
        <is>
          <t>Se registra el tipo de movimiento y el comprobante de origen</t>
        </is>
      </c>
      <c r="D32" s="13" t="inlineStr">
        <is>
          <t>TC-STK-08-01</t>
        </is>
      </c>
      <c r="E32" s="13">
        <f>IF(D32="(sin casos)","No cubierto","Cubierto")</f>
        <v/>
      </c>
    </row>
    <row r="33" ht="30" customHeight="1">
      <c r="A33" s="13" t="inlineStr">
        <is>
          <t>US-STK-08</t>
        </is>
      </c>
      <c r="B33" s="13" t="inlineStr">
        <is>
          <t>CA-03</t>
        </is>
      </c>
      <c r="C33" s="13" t="inlineStr">
        <is>
          <t>Se registra depósito origen y/o destino según el tipo</t>
        </is>
      </c>
      <c r="D33" s="13" t="inlineStr">
        <is>
          <t>TC-STK-08-01, TC-STK-08-03</t>
        </is>
      </c>
      <c r="E33" s="13">
        <f>IF(D33="(sin casos)","No cubierto","Cubierto")</f>
        <v/>
      </c>
    </row>
    <row r="34" ht="30" customHeight="1">
      <c r="A34" s="13" t="inlineStr">
        <is>
          <t>US-STK-08</t>
        </is>
      </c>
      <c r="B34" s="13" t="inlineStr">
        <is>
          <t>CA-04</t>
        </is>
      </c>
      <c r="C34" s="13" t="inlineStr">
        <is>
          <t>El movimiento queda en estado Pendiente hasta su confirmación</t>
        </is>
      </c>
      <c r="D34" s="13" t="inlineStr">
        <is>
          <t>TC-STK-08-01, TC-STK-08-02, TC-STK-08-06</t>
        </is>
      </c>
      <c r="E34" s="13">
        <f>IF(D34="(sin casos)","No cubierto","Cubierto")</f>
        <v/>
      </c>
    </row>
    <row r="35" ht="30" customHeight="1">
      <c r="A35" s="13" t="inlineStr">
        <is>
          <t>US-STK-08</t>
        </is>
      </c>
      <c r="B35" s="13" t="inlineStr">
        <is>
          <t>CA-05</t>
        </is>
      </c>
      <c r="C35" s="13" t="inlineStr">
        <is>
          <t>Se bloquea toda transferencia que supere el disponible del origen</t>
        </is>
      </c>
      <c r="D35" s="13" t="inlineStr">
        <is>
          <t>TC-STK-08-02, TC-STK-08-05</t>
        </is>
      </c>
      <c r="E35" s="13">
        <f>IF(D35="(sin casos)","No cubierto","Cubierto")</f>
        <v/>
      </c>
    </row>
    <row r="36" ht="30" customHeight="1">
      <c r="A36" s="13" t="inlineStr">
        <is>
          <t>US-STK-08</t>
        </is>
      </c>
      <c r="B36" s="13" t="inlineStr">
        <is>
          <t>CA-06</t>
        </is>
      </c>
      <c r="C36" s="13" t="inlineStr">
        <is>
          <t>Movimientos concurrentes sobre un mismo SKU controlados con transacciones ACID</t>
        </is>
      </c>
      <c r="D36" s="13" t="inlineStr">
        <is>
          <t>TC-STK-08-07</t>
        </is>
      </c>
      <c r="E36" s="13">
        <f>IF(D36="(sin casos)","No cubierto","Cubierto")</f>
        <v/>
      </c>
    </row>
    <row r="37" ht="30" customHeight="1">
      <c r="A37" s="13" t="inlineStr">
        <is>
          <t>US-STK-09</t>
        </is>
      </c>
      <c r="B37" s="13" t="inlineStr">
        <is>
          <t>CA-01</t>
        </is>
      </c>
      <c r="C37" s="13" t="inlineStr">
        <is>
          <t>El stock sólo se actualiza luego de la confirmación</t>
        </is>
      </c>
      <c r="D37" s="13" t="inlineStr">
        <is>
          <t>TC-STK-09-01</t>
        </is>
      </c>
      <c r="E37" s="13">
        <f>IF(D37="(sin casos)","No cubierto","Cubierto")</f>
        <v/>
      </c>
    </row>
    <row r="38" ht="30" customHeight="1">
      <c r="A38" s="13" t="inlineStr">
        <is>
          <t>US-STK-09</t>
        </is>
      </c>
      <c r="B38" s="13" t="inlineStr">
        <is>
          <t>CA-02</t>
        </is>
      </c>
      <c r="C38" s="13" t="inlineStr">
        <is>
          <t>Se registra usuario y fecha de recepción</t>
        </is>
      </c>
      <c r="D38" s="13" t="inlineStr">
        <is>
          <t>TC-STK-09-02</t>
        </is>
      </c>
      <c r="E38" s="13">
        <f>IF(D38="(sin casos)","No cubierto","Cubierto")</f>
        <v/>
      </c>
    </row>
    <row r="39" ht="30" customHeight="1">
      <c r="A39" s="13" t="inlineStr">
        <is>
          <t>US-STK-09</t>
        </is>
      </c>
      <c r="B39" s="13" t="inlineStr">
        <is>
          <t>CA-03</t>
        </is>
      </c>
      <c r="C39" s="13" t="inlineStr">
        <is>
          <t>Se impiden confirmaciones duplicadas</t>
        </is>
      </c>
      <c r="D39" s="13" t="inlineStr">
        <is>
          <t>TC-STK-09-04</t>
        </is>
      </c>
      <c r="E39" s="13">
        <f>IF(D39="(sin casos)","No cubierto","Cubierto")</f>
        <v/>
      </c>
    </row>
    <row r="40" ht="30" customHeight="1">
      <c r="A40" s="13" t="inlineStr">
        <is>
          <t>US-STK-09</t>
        </is>
      </c>
      <c r="B40" s="13" t="inlineStr">
        <is>
          <t>CA-04</t>
        </is>
      </c>
      <c r="C40" s="13" t="inlineStr">
        <is>
          <t>Se actualiza automáticamente el stock del depósito correspondiente</t>
        </is>
      </c>
      <c r="D40" s="13" t="inlineStr">
        <is>
          <t>TC-STK-09-02</t>
        </is>
      </c>
      <c r="E40" s="13">
        <f>IF(D40="(sin casos)","No cubierto","Cubierto")</f>
        <v/>
      </c>
    </row>
    <row r="41" ht="30" customHeight="1">
      <c r="A41" s="13" t="inlineStr">
        <is>
          <t>US-STK-09</t>
        </is>
      </c>
      <c r="B41" s="13" t="inlineStr">
        <is>
          <t>CA-05</t>
        </is>
      </c>
      <c r="C41" s="13" t="inlineStr">
        <is>
          <t>Dispara el recálculo de CMP (US-STK-13)</t>
        </is>
      </c>
      <c r="D41" s="13" t="inlineStr">
        <is>
          <t>TC-STK-09-02</t>
        </is>
      </c>
      <c r="E41" s="13">
        <f>IF(D41="(sin casos)","No cubierto","Cubierto")</f>
        <v/>
      </c>
    </row>
    <row r="42" ht="30" customHeight="1">
      <c r="A42" s="13" t="inlineStr">
        <is>
          <t>US-STK-13</t>
        </is>
      </c>
      <c r="B42" s="13" t="inlineStr">
        <is>
          <t>CA-01</t>
        </is>
      </c>
      <c r="C42" s="13" t="inlineStr">
        <is>
          <t>El CMP se recalcula automáticamente al confirmar cada recepción</t>
        </is>
      </c>
      <c r="D42" s="13" t="inlineStr">
        <is>
          <t>TC-STK-13-01</t>
        </is>
      </c>
      <c r="E42" s="13">
        <f>IF(D42="(sin casos)","No cubierto","Cubierto")</f>
        <v/>
      </c>
    </row>
    <row r="43" ht="30" customHeight="1">
      <c r="A43" s="13" t="inlineStr">
        <is>
          <t>US-STK-13</t>
        </is>
      </c>
      <c r="B43" s="13" t="inlineStr">
        <is>
          <t>CA-02</t>
        </is>
      </c>
      <c r="C43" s="13" t="inlineStr">
        <is>
          <t>Se muestra por artículo, categoría y depósito</t>
        </is>
      </c>
      <c r="D43" s="13" t="inlineStr">
        <is>
          <t>TC-STK-13-02, TC-STK-13-05</t>
        </is>
      </c>
      <c r="E43" s="13">
        <f>IF(D43="(sin casos)","No cubierto","Cubierto")</f>
        <v/>
      </c>
    </row>
    <row r="44" ht="30" customHeight="1">
      <c r="A44" s="13" t="inlineStr">
        <is>
          <t>US-STK-13</t>
        </is>
      </c>
      <c r="B44" s="13" t="inlineStr">
        <is>
          <t>CA-03</t>
        </is>
      </c>
      <c r="C44" s="13" t="inlineStr">
        <is>
          <t>Se almacena históricamente cada variación de CMP por artículo</t>
        </is>
      </c>
      <c r="D44" s="13" t="inlineStr">
        <is>
          <t>TC-STK-13-03</t>
        </is>
      </c>
      <c r="E44" s="13">
        <f>IF(D44="(sin casos)","No cubierto","Cubierto")</f>
        <v/>
      </c>
    </row>
    <row r="45" ht="30" customHeight="1">
      <c r="A45" s="13" t="inlineStr">
        <is>
          <t>US-STK-13</t>
        </is>
      </c>
      <c r="B45" s="13" t="inlineStr">
        <is>
          <t>CA-04</t>
        </is>
      </c>
      <c r="C45" s="13" t="inlineStr">
        <is>
          <t>El costo resultante queda disponible para Ventas y Finanzas</t>
        </is>
      </c>
      <c r="D45" s="13" t="inlineStr">
        <is>
          <t>TC-STK-13-04</t>
        </is>
      </c>
      <c r="E45" s="13">
        <f>IF(D45="(sin casos)","No cubierto","Cubierto")</f>
        <v/>
      </c>
    </row>
    <row r="46" ht="30" customHeight="1">
      <c r="A46" s="13" t="inlineStr">
        <is>
          <t>US-STK-15</t>
        </is>
      </c>
      <c r="B46" s="13" t="inlineStr">
        <is>
          <t>CA-01</t>
        </is>
      </c>
      <c r="C46" s="13" t="inlineStr">
        <is>
          <t>La alerta se dispara en el momento exacto en que un movimiento confirmado cruza el umbral mínimo</t>
        </is>
      </c>
      <c r="D46" s="13" t="inlineStr">
        <is>
          <t>TC-STK-15-01</t>
        </is>
      </c>
      <c r="E46" s="13">
        <f>IF(D46="(sin casos)","No cubierto","Cubierto")</f>
        <v/>
      </c>
    </row>
    <row r="47" ht="30" customHeight="1">
      <c r="A47" s="13" t="inlineStr">
        <is>
          <t>US-STK-15</t>
        </is>
      </c>
      <c r="B47" s="13" t="inlineStr">
        <is>
          <t>CA-02</t>
        </is>
      </c>
      <c r="C47" s="13" t="inlineStr">
        <is>
          <t>Notificación in-app + correo automático al área de compras</t>
        </is>
      </c>
      <c r="D47" s="13" t="inlineStr">
        <is>
          <t>TC-STK-15-02</t>
        </is>
      </c>
      <c r="E47" s="13">
        <f>IF(D47="(sin casos)","No cubierto","Cubierto")</f>
        <v/>
      </c>
    </row>
    <row r="48" ht="30" customHeight="1">
      <c r="A48" s="13" t="inlineStr">
        <is>
          <t>US-STK-15</t>
        </is>
      </c>
      <c r="B48" s="13" t="inlineStr">
        <is>
          <t>CA-03</t>
        </is>
      </c>
      <c r="C48" s="13" t="inlineStr">
        <is>
          <t>Los artículos afectados se listan con prioridad en el dashboard gerencial</t>
        </is>
      </c>
      <c r="D48" s="13" t="inlineStr">
        <is>
          <t>TC-STK-15-03</t>
        </is>
      </c>
      <c r="E48" s="13">
        <f>IF(D48="(sin casos)","No cubierto","Cubierto")</f>
        <v/>
      </c>
    </row>
  </sheetData>
  <conditionalFormatting sqref="E2:E48">
    <cfRule type="cellIs" priority="1" operator="equal" dxfId="0">
      <formula>"Cubierto"</formula>
    </cfRule>
    <cfRule type="cellIs" priority="2" operator="equal" dxfId="2">
      <formula>"No cubierto"</formula>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t="inlineStr">
        <is>
          <t>Estado</t>
        </is>
      </c>
      <c r="B1" t="inlineStr">
        <is>
          <t>Tipo de prueba</t>
        </is>
      </c>
      <c r="C1" t="inlineStr">
        <is>
          <t>Prioridad</t>
        </is>
      </c>
      <c r="D1" t="inlineStr">
        <is>
          <t>Severidad</t>
        </is>
      </c>
    </row>
    <row r="2">
      <c r="A2" t="inlineStr">
        <is>
          <t>Pendiente</t>
        </is>
      </c>
      <c r="B2" t="inlineStr">
        <is>
          <t>Camino feliz</t>
        </is>
      </c>
      <c r="C2" t="inlineStr">
        <is>
          <t>Crítica</t>
        </is>
      </c>
      <c r="D2" t="inlineStr">
        <is>
          <t>Crítica</t>
        </is>
      </c>
    </row>
    <row r="3">
      <c r="A3" t="inlineStr">
        <is>
          <t>Aprobado</t>
        </is>
      </c>
      <c r="B3" t="inlineStr">
        <is>
          <t>Validación</t>
        </is>
      </c>
      <c r="C3" t="inlineStr">
        <is>
          <t>Alta</t>
        </is>
      </c>
      <c r="D3" t="inlineStr">
        <is>
          <t>Alta</t>
        </is>
      </c>
    </row>
    <row r="4">
      <c r="A4" t="inlineStr">
        <is>
          <t>Fallido</t>
        </is>
      </c>
      <c r="B4" t="inlineStr">
        <is>
          <t>Caso de error</t>
        </is>
      </c>
      <c r="C4" t="inlineStr">
        <is>
          <t>Media</t>
        </is>
      </c>
      <c r="D4" t="inlineStr">
        <is>
          <t>Media</t>
        </is>
      </c>
    </row>
    <row r="5">
      <c r="A5" t="inlineStr">
        <is>
          <t>Bloqueado</t>
        </is>
      </c>
      <c r="B5" t="inlineStr">
        <is>
          <t>Integración</t>
        </is>
      </c>
      <c r="C5" t="inlineStr">
        <is>
          <t>Baja</t>
        </is>
      </c>
      <c r="D5" t="inlineStr">
        <is>
          <t>Baja</t>
        </is>
      </c>
    </row>
    <row r="6">
      <c r="A6" t="inlineStr">
        <is>
          <t>No ejecutado</t>
        </is>
      </c>
      <c r="B6" t="inlineStr">
        <is>
          <t>Regresión</t>
        </is>
      </c>
      <c r="D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2026-08-17T02:12:25Z</dcterms:created>
  <dcterms:modified xsi:type="dcterms:W3CDTF">2026-08-17T02:12:25Z</dcterms:modified>
</cp:coreProperties>
</file>